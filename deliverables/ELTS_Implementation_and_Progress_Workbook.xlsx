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tables/table11.xml" ContentType="application/vnd.openxmlformats-officedocument.spreadsheetml.table+xml"/>
  <Override PartName="/xl/worksheets/sheet14.xml" ContentType="application/vnd.openxmlformats-officedocument.spreadsheetml.worksheet+xml"/>
  <Override PartName="/xl/tables/table12.xml" ContentType="application/vnd.openxmlformats-officedocument.spreadsheetml.table+xml"/>
  <Override PartName="/xl/worksheets/sheet15.xml" ContentType="application/vnd.openxmlformats-officedocument.spreadsheetml.worksheet+xml"/>
  <Override PartName="/xl/tables/table13.xml" ContentType="application/vnd.openxmlformats-officedocument.spreadsheetml.table+xml"/>
  <Override PartName="/xl/worksheets/sheet1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adcd378def44855" /></Relationships>
</file>

<file path=xl/workbook.xml><?xml version="1.0" encoding="utf-8"?>
<x:workbook xmlns:x="http://schemas.openxmlformats.org/spreadsheetml/2006/main">
  <x:sheets>
    <x:sheet xmlns:r="http://schemas.openxmlformats.org/officeDocument/2006/relationships" name="Start Here" sheetId="1" r:id="R09bbecd9f1f3462a"/>
    <x:sheet xmlns:r="http://schemas.openxmlformats.org/officeDocument/2006/relationships" name="Dashboard" sheetId="2" r:id="R6fe21442410c471f"/>
    <x:sheet xmlns:r="http://schemas.openxmlformats.org/officeDocument/2006/relationships" name="Phases" sheetId="3" r:id="R6daae9fddf7b4f07"/>
    <x:sheet xmlns:r="http://schemas.openxmlformats.org/officeDocument/2006/relationships" name="Work Items" sheetId="4" r:id="Rbf2c5eca79d0431d"/>
    <x:sheet xmlns:r="http://schemas.openxmlformats.org/officeDocument/2006/relationships" name="Atomic Steps" sheetId="5" r:id="R8367108f52e349ed"/>
    <x:sheet xmlns:r="http://schemas.openxmlformats.org/officeDocument/2006/relationships" name="Decisions" sheetId="6" r:id="R9ad2ea48657243e9"/>
    <x:sheet xmlns:r="http://schemas.openxmlformats.org/officeDocument/2006/relationships" name="Gate Criteria" sheetId="7" r:id="R6287629e58844f99"/>
    <x:sheet xmlns:r="http://schemas.openxmlformats.org/officeDocument/2006/relationships" name="Dependencies" sheetId="8" r:id="R5fa407fd8f2e48b0"/>
    <x:sheet xmlns:r="http://schemas.openxmlformats.org/officeDocument/2006/relationships" name="Requirements Traceability" sheetId="9" r:id="R7cfee3ff6d654e86"/>
    <x:sheet xmlns:r="http://schemas.openxmlformats.org/officeDocument/2006/relationships" name="Artifacts" sheetId="10" r:id="R5754122cb19e427a"/>
    <x:sheet xmlns:r="http://schemas.openxmlformats.org/officeDocument/2006/relationships" name="Risks" sheetId="11" r:id="R9ad3a8aeddb54b25"/>
    <x:sheet xmlns:r="http://schemas.openxmlformats.org/officeDocument/2006/relationships" name="Evidence" sheetId="12" r:id="R1ee83a44307141e8"/>
    <x:sheet xmlns:r="http://schemas.openxmlformats.org/officeDocument/2006/relationships" name="Progress Contract" sheetId="13" r:id="Rc75d4332d2b542fb"/>
    <x:sheet xmlns:r="http://schemas.openxmlformats.org/officeDocument/2006/relationships" name="Agent Sessions" sheetId="14" r:id="R4198c7fc9edd4214"/>
    <x:sheet xmlns:r="http://schemas.openxmlformats.org/officeDocument/2006/relationships" name="Plan Changes" sheetId="15" r:id="Ree072657b62e4db1"/>
    <x:sheet xmlns:r="http://schemas.openxmlformats.org/officeDocument/2006/relationships" name="Reference Lists" sheetId="16" r:id="R47e1f41b539e4050"/>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hh:mm"/>
    <x:numFmt numFmtId="201" formatCode="0.0%"/>
  </x:numFmts>
  <x:fonts count="8">
    <x:font>
      <x:sz val="11"/>
      <x:name val="Carlito"/>
    </x:font>
    <x:font>
      <x:b/>
      <x:sz val="18"/>
      <x:color rgb="FF1F1F1F"/>
      <x:name val="Arial"/>
    </x:font>
    <x:font>
      <x:i/>
      <x:sz val="10"/>
      <x:color rgb="FF666666"/>
      <x:name val="Arial"/>
    </x:font>
    <x:font>
      <x:b/>
      <x:sz val="10"/>
      <x:color rgb="FF1F1F1F"/>
      <x:name val="Arial"/>
    </x:font>
    <x:font>
      <x:sz val="10"/>
      <x:color rgb="FF1F1F1F"/>
      <x:name val="Arial"/>
    </x:font>
    <x:font>
      <x:b/>
      <x:sz val="11"/>
      <x:color rgb="FFFFFFFF"/>
      <x:name val="Arial"/>
    </x:font>
    <x:font>
      <x:sz val="11"/>
      <x:color rgb="FF1F1F1F"/>
      <x:name val="Arial"/>
    </x:font>
    <x:font>
      <x:b/>
      <x:sz val="10"/>
      <x:color rgb="FFFFFFFF"/>
      <x:name val="Arial"/>
    </x:font>
  </x:fonts>
  <x:fills count="5">
    <x:fill>
      <x:patternFill patternType="none"/>
    </x:fill>
    <x:fill>
      <x:patternFill patternType="gray125"/>
    </x:fill>
    <x:fill>
      <x:patternFill patternType="solid">
        <x:fgColor rgb="FFF2F2F2"/>
      </x:patternFill>
    </x:fill>
    <x:fill>
      <x:patternFill patternType="solid">
        <x:fgColor rgb="FF17365D"/>
      </x:patternFill>
    </x:fill>
    <x:fill>
      <x:patternFill patternType="solid">
        <x:fgColor rgb="FFEEF4FB"/>
      </x:patternFill>
    </x:fill>
  </x:fills>
  <x:borders count="12">
    <x:border/>
    <x:border>
      <x:bottom style="thin">
        <x:color rgb="FF17365D"/>
      </x:bottom>
    </x:border>
    <x:border>
      <x:left style="thin">
        <x:color rgb="FFD9D9D9"/>
      </x:left>
      <x:right style="thin">
        <x:color rgb="FFD9D9D9"/>
      </x:right>
      <x:top style="thin">
        <x:color rgb="FFD9D9D9"/>
      </x:top>
      <x:bottom style="thin">
        <x:color rgb="FFD9D9D9"/>
      </x:bottom>
    </x:border>
    <x:border>
      <x:left style="thin">
        <x:color rgb="FFD9D9D9"/>
      </x:left>
      <x:top style="thin">
        <x:color rgb="FFD9D9D9"/>
      </x:top>
    </x:border>
    <x:border>
      <x:top style="thin">
        <x:color rgb="FFD9D9D9"/>
      </x:top>
    </x:border>
    <x:border>
      <x:right style="thin">
        <x:color rgb="FFD9D9D9"/>
      </x:right>
      <x:top style="thin">
        <x:color rgb="FFD9D9D9"/>
      </x:top>
    </x:border>
    <x:border>
      <x:left style="thin">
        <x:color rgb="FFD9D9D9"/>
      </x:left>
    </x:border>
    <x:border>
      <x:right style="thin">
        <x:color rgb="FFD9D9D9"/>
      </x:right>
    </x:border>
    <x:border>
      <x:left style="thin">
        <x:color rgb="FFD9D9D9"/>
      </x:left>
      <x:bottom style="thin">
        <x:color rgb="FFD9D9D9"/>
      </x:bottom>
    </x:border>
    <x:border>
      <x:bottom style="thin">
        <x:color rgb="FFD9D9D9"/>
      </x:bottom>
    </x:border>
    <x:border>
      <x:right style="thin">
        <x:color rgb="FFD9D9D9"/>
      </x:right>
      <x:bottom style="thin">
        <x:color rgb="FFD9D9D9"/>
      </x:bottom>
    </x:border>
    <x:border>
      <x:left style="thin">
        <x:color rgb="FFFFFFFF"/>
      </x:left>
      <x:right style="thin">
        <x:color rgb="FFFFFFFF"/>
      </x:right>
      <x:top style="thin">
        <x:color rgb="FFFFFFFF"/>
      </x:top>
      <x:bottom style="thin">
        <x:color rgb="FFFFFFFF"/>
      </x:bottom>
    </x:border>
  </x:borders>
  <x:cellStyleXfs count="1">
    <x:xf numFmtId="0" fontId="0" fillId="0" borderId="0"/>
  </x:cellStyleXfs>
  <x:cellXfs count="45">
    <x:xf numFmtId="0" fontId="0" fillId="0" borderId="0" xfId="0"/>
    <x:xf numFmtId="0" fontId="1" fillId="0" borderId="0" xfId="0" applyNumberFormat="1" applyFont="1" applyFill="1" applyBorder="1"/>
    <x:xf numFmtId="0" fontId="2" fillId="0" borderId="0" xfId="0" applyNumberFormat="1" applyFont="1" applyFill="1" applyBorder="1"/>
    <x:xf numFmtId="0" fontId="0" fillId="0" borderId="1"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3" fillId="2" borderId="2" xfId="0" applyNumberFormat="1" applyFont="1" applyFill="1" applyBorder="1" applyAlignment="1">
      <x:alignment vertical="top" wrapText="1"/>
    </x:xf>
    <x:xf numFmtId="0" fontId="4" fillId="0" borderId="2" xfId="0" applyNumberFormat="1" applyFont="1" applyFill="1" applyBorder="1" applyAlignment="1">
      <x:alignment vertical="top" wrapText="1"/>
    </x:xf>
    <x:xf numFmtId="0" fontId="0" fillId="3" borderId="0" xfId="0" applyNumberFormat="1" applyFont="1" applyFill="1" applyBorder="1"/>
    <x:xf numFmtId="0" fontId="5" fillId="3" borderId="0" xfId="0" applyNumberFormat="1" applyFont="1" applyFill="1" applyBorder="1"/>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0" xfId="0" applyNumberFormat="1" applyFont="1" applyFill="1" applyBorder="1" applyAlignment="1">
      <x:alignment vertical="top" wrapText="1"/>
    </x:xf>
    <x:xf numFmtId="0" fontId="6" fillId="0" borderId="3" xfId="0" applyNumberFormat="1" applyFont="1" applyFill="1" applyBorder="1" applyAlignment="1">
      <x:alignment vertical="top" wrapText="1"/>
    </x:xf>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0"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7" fillId="3" borderId="0" xfId="0" applyNumberFormat="1" applyFont="1" applyFill="1" applyBorder="1"/>
    <x:xf numFmtId="0" fontId="7" fillId="3" borderId="0" xfId="0" applyNumberFormat="1" applyFont="1" applyFill="1" applyBorder="1" applyAlignment="1">
      <x:alignment horizontal="center"/>
    </x:xf>
    <x:xf numFmtId="0" fontId="7" fillId="3" borderId="0" xfId="0" applyNumberFormat="1" applyFont="1" applyFill="1" applyBorder="1" applyAlignment="1">
      <x:alignment horizontal="center" vertical="center"/>
    </x:xf>
    <x:xf numFmtId="0" fontId="7" fillId="3" borderId="0" xfId="0" applyNumberFormat="1" applyFont="1" applyFill="1" applyBorder="1" applyAlignment="1">
      <x:alignment horizontal="center" vertical="center" wrapText="1"/>
    </x:xf>
    <x:xf numFmtId="0" fontId="7" fillId="3" borderId="11" xfId="0" applyNumberFormat="1" applyFont="1" applyFill="1" applyBorder="1" applyAlignment="1">
      <x:alignment horizontal="center" vertical="center" wrapText="1"/>
    </x:xf>
    <x:xf numFmtId="0" fontId="4" fillId="0" borderId="0" xfId="0" applyNumberFormat="1" applyFont="1" applyFill="1" applyBorder="1" applyAlignment="1">
      <x:alignment vertical="top"/>
    </x:xf>
    <x:xf numFmtId="0" fontId="4" fillId="0" borderId="9" xfId="0" applyNumberFormat="1" applyFont="1" applyFill="1" applyBorder="1" applyAlignment="1">
      <x:alignment vertical="top" wrapText="1"/>
    </x:xf>
    <x:xf numFmtId="0" fontId="4" fillId="4" borderId="0" xfId="0" applyNumberFormat="1" applyFont="1" applyFill="1" applyBorder="1" applyAlignment="1">
      <x:alignment vertical="top" wrapText="1"/>
    </x:xf>
    <x:xf numFmtId="200" fontId="4" fillId="0" borderId="0" xfId="0" applyNumberFormat="1" applyFont="1" applyFill="1" applyBorder="1" applyAlignment="1">
      <x:alignment vertical="top" wrapText="1"/>
    </x:xf>
    <x:xf numFmtId="200" fontId="4" fillId="4" borderId="0" xfId="0" applyNumberFormat="1" applyFont="1" applyFill="1" applyBorder="1" applyAlignment="1">
      <x:alignment vertical="top" wrapText="1"/>
    </x:xf>
    <x:xf numFmtId="200" fontId="4" fillId="0" borderId="9" xfId="0" applyNumberFormat="1" applyFont="1" applyFill="1" applyBorder="1" applyAlignment="1">
      <x:alignment vertical="top" wrapText="1"/>
    </x:xf>
    <x:xf numFmtId="201" fontId="4" fillId="0" borderId="0" xfId="0" applyNumberFormat="1" applyFont="1" applyFill="1" applyBorder="1" applyAlignment="1">
      <x:alignment vertical="top" wrapText="1"/>
    </x:xf>
    <x:xf numFmtId="201" fontId="4" fillId="4" borderId="0" xfId="0" applyNumberFormat="1" applyFont="1" applyFill="1" applyBorder="1" applyAlignment="1">
      <x:alignment vertical="top" wrapText="1"/>
    </x:xf>
    <x:xf numFmtId="201" fontId="4" fillId="0" borderId="9" xfId="0" applyNumberFormat="1" applyFont="1" applyFill="1" applyBorder="1" applyAlignment="1">
      <x:alignment vertical="top" wrapText="1"/>
    </x:xf>
    <x:xf numFmtId="0" fontId="4" fillId="4" borderId="9" xfId="0" applyNumberFormat="1" applyFont="1" applyFill="1" applyBorder="1" applyAlignment="1">
      <x:alignment vertical="top" wrapText="1"/>
    </x:xf>
    <x:xf numFmtId="200" fontId="4" fillId="4" borderId="9" xfId="0" applyNumberFormat="1" applyFont="1" applyFill="1" applyBorder="1" applyAlignment="1">
      <x:alignment vertical="top" wrapText="1"/>
    </x:xf>
    <x:xf numFmtId="0" fontId="4" fillId="0" borderId="0" xfId="0" applyNumberFormat="1" applyFont="1" applyFill="1" applyBorder="1" applyAlignment="1">
      <x:alignment horizontal="center" vertical="top" wrapText="1"/>
    </x:xf>
    <x:xf numFmtId="0" fontId="4" fillId="0" borderId="9" xfId="0" applyNumberFormat="1" applyFont="1" applyFill="1" applyBorder="1" applyAlignment="1">
      <x:alignment horizontal="center" vertical="top" wrapText="1"/>
    </x:xf>
  </x:cellXfs>
  <x:cellStyles count="1">
    <x:cellStyle name="Normal" xfId="0"/>
  </x:cellStyles>
  <x:dxfs count="42">
    <x:dxf>
      <x:font>
        <x:b/>
        <x:color rgb="FF375623"/>
      </x:font>
      <x:fill>
        <x:patternFill patternType="solid">
          <x:bgColor rgb="FFE2F0D9"/>
        </x:patternFill>
      </x:fill>
    </x:dxf>
    <x:dxf>
      <x:font>
        <x:b/>
        <x:color rgb="FF375623"/>
      </x:font>
      <x:fill>
        <x:patternFill patternType="solid">
          <x:bgColor rgb="FFE2F0D9"/>
        </x:patternFill>
      </x:fill>
    </x:dxf>
    <x:dxf>
      <x:font>
        <x:b/>
        <x:color rgb="FF17365D"/>
      </x:font>
      <x:fill>
        <x:patternFill patternType="solid">
          <x:bgColor rgb="FFDCE6F1"/>
        </x:patternFill>
      </x:fill>
    </x:dxf>
    <x:dxf>
      <x:font>
        <x:b/>
        <x:color rgb="FF403151"/>
      </x:font>
      <x:fill>
        <x:patternFill patternType="solid">
          <x:bgColor rgb="FFE4DFEC"/>
        </x:patternFill>
      </x:fill>
    </x:dxf>
    <x:dxf>
      <x:font>
        <x:b/>
        <x:color rgb="FF7F6000"/>
      </x:font>
      <x:fill>
        <x:patternFill patternType="solid">
          <x:bgColor rgb="FFFFF2CC"/>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17365D"/>
      </x:font>
      <x:fill>
        <x:patternFill patternType="solid">
          <x:bgColor rgb="FFDCE6F1"/>
        </x:patternFill>
      </x:fill>
    </x:dxf>
    <x:dxf>
      <x:font>
        <x:b/>
        <x:color rgb="FF403151"/>
      </x:font>
      <x:fill>
        <x:patternFill patternType="solid">
          <x:bgColor rgb="FFE4DFEC"/>
        </x:patternFill>
      </x:fill>
    </x:dxf>
    <x:dxf>
      <x:font>
        <x:b/>
        <x:color rgb="FF7F6000"/>
      </x:font>
      <x:fill>
        <x:patternFill patternType="solid">
          <x:bgColor rgb="FFFFF2CC"/>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17365D"/>
      </x:font>
      <x:fill>
        <x:patternFill patternType="solid">
          <x:bgColor rgb="FFDCE6F1"/>
        </x:patternFill>
      </x:fill>
    </x:dxf>
    <x:dxf>
      <x:font>
        <x:b/>
        <x:color rgb="FF403151"/>
      </x:font>
      <x:fill>
        <x:patternFill patternType="solid">
          <x:bgColor rgb="FFE4DFEC"/>
        </x:patternFill>
      </x:fill>
    </x:dxf>
    <x:dxf>
      <x:font>
        <x:b/>
        <x:color rgb="FF7F6000"/>
      </x:font>
      <x:fill>
        <x:patternFill patternType="solid">
          <x:bgColor rgb="FFFFF2CC"/>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17365D"/>
      </x:font>
      <x:fill>
        <x:patternFill patternType="solid">
          <x:bgColor rgb="FFDCE6F1"/>
        </x:patternFill>
      </x:fill>
    </x:dxf>
    <x:dxf>
      <x:font>
        <x:b/>
        <x:color rgb="FF403151"/>
      </x:font>
      <x:fill>
        <x:patternFill patternType="solid">
          <x:bgColor rgb="FFE4DFEC"/>
        </x:patternFill>
      </x:fill>
    </x:dxf>
    <x:dxf>
      <x:font>
        <x:b/>
        <x:color rgb="FF7F6000"/>
      </x:font>
      <x:fill>
        <x:patternFill patternType="solid">
          <x:bgColor rgb="FFFFF2CC"/>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17365D"/>
      </x:font>
      <x:fill>
        <x:patternFill patternType="solid">
          <x:bgColor rgb="FFDCE6F1"/>
        </x:patternFill>
      </x:fill>
    </x:dxf>
    <x:dxf>
      <x:font>
        <x:b/>
        <x:color rgb="FF403151"/>
      </x:font>
      <x:fill>
        <x:patternFill patternType="solid">
          <x:bgColor rgb="FFE4DFEC"/>
        </x:patternFill>
      </x:fill>
    </x:dxf>
    <x:dxf>
      <x:font>
        <x:b/>
        <x:color rgb="FF7F6000"/>
      </x:font>
      <x:fill>
        <x:patternFill patternType="solid">
          <x:bgColor rgb="FFFFF2CC"/>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17365D"/>
      </x:font>
      <x:fill>
        <x:patternFill patternType="solid">
          <x:bgColor rgb="FFDCE6F1"/>
        </x:patternFill>
      </x:fill>
    </x:dxf>
    <x:dxf>
      <x:font>
        <x:b/>
        <x:color rgb="FF403151"/>
      </x:font>
      <x:fill>
        <x:patternFill patternType="solid">
          <x:bgColor rgb="FFE4DFEC"/>
        </x:patternFill>
      </x:fill>
    </x:dxf>
    <x:dxf>
      <x:font>
        <x:b/>
        <x:color rgb="FF7F6000"/>
      </x:font>
      <x:fill>
        <x:patternFill patternType="solid">
          <x:bgColor rgb="FFFFF2CC"/>
        </x:patternFill>
      </x:fill>
    </x:dxf>
    <x:dxf>
      <x:font>
        <x:b/>
        <x:color rgb="FF9C0006"/>
      </x:font>
      <x:fill>
        <x:patternFill patternType="solid">
          <x:bgColor rgb="FFFCE4D6"/>
        </x:patternFill>
      </x:fill>
    </x:dxf>
    <x:dxf>
      <x:font>
        <x:b/>
        <x:color rgb="FF9C0006"/>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5ddc7c0a74c4fda" /><Relationship Type="http://schemas.openxmlformats.org/officeDocument/2006/relationships/theme" Target="/xl/theme/theme1.xml" Id="Re5272a12c2d6435e" /><Relationship Type="http://schemas.openxmlformats.org/officeDocument/2006/relationships/sharedStrings" Target="/xl/sharedStrings.xml" Id="Rcdb2a3d70803445c" /><Relationship Type="http://schemas.openxmlformats.org/officeDocument/2006/relationships/worksheet" Target="/xl/worksheets/sheet1.xml" Id="R09bbecd9f1f3462a" /><Relationship Type="http://schemas.openxmlformats.org/officeDocument/2006/relationships/worksheet" Target="/xl/worksheets/sheet2.xml" Id="R6fe21442410c471f" /><Relationship Type="http://schemas.openxmlformats.org/officeDocument/2006/relationships/worksheet" Target="/xl/worksheets/sheet3.xml" Id="R6daae9fddf7b4f07" /><Relationship Type="http://schemas.openxmlformats.org/officeDocument/2006/relationships/worksheet" Target="/xl/worksheets/sheet4.xml" Id="Rbf2c5eca79d0431d" /><Relationship Type="http://schemas.openxmlformats.org/officeDocument/2006/relationships/worksheet" Target="/xl/worksheets/sheet5.xml" Id="R8367108f52e349ed" /><Relationship Type="http://schemas.openxmlformats.org/officeDocument/2006/relationships/worksheet" Target="/xl/worksheets/sheet6.xml" Id="R9ad2ea48657243e9" /><Relationship Type="http://schemas.openxmlformats.org/officeDocument/2006/relationships/worksheet" Target="/xl/worksheets/sheet7.xml" Id="R6287629e58844f99" /><Relationship Type="http://schemas.openxmlformats.org/officeDocument/2006/relationships/worksheet" Target="/xl/worksheets/sheet8.xml" Id="R5fa407fd8f2e48b0" /><Relationship Type="http://schemas.openxmlformats.org/officeDocument/2006/relationships/worksheet" Target="/xl/worksheets/sheet9.xml" Id="R7cfee3ff6d654e86" /><Relationship Type="http://schemas.openxmlformats.org/officeDocument/2006/relationships/worksheet" Target="/xl/worksheets/sheet10.xml" Id="R5754122cb19e427a" /><Relationship Type="http://schemas.openxmlformats.org/officeDocument/2006/relationships/worksheet" Target="/xl/worksheets/sheet11.xml" Id="R9ad3a8aeddb54b25" /><Relationship Type="http://schemas.openxmlformats.org/officeDocument/2006/relationships/worksheet" Target="/xl/worksheets/sheet12.xml" Id="R1ee83a44307141e8" /><Relationship Type="http://schemas.openxmlformats.org/officeDocument/2006/relationships/worksheet" Target="/xl/worksheets/sheet13.xml" Id="Rc75d4332d2b542fb" /><Relationship Type="http://schemas.openxmlformats.org/officeDocument/2006/relationships/worksheet" Target="/xl/worksheets/sheet14.xml" Id="R4198c7fc9edd4214" /><Relationship Type="http://schemas.openxmlformats.org/officeDocument/2006/relationships/worksheet" Target="/xl/worksheets/sheet15.xml" Id="Ree072657b62e4db1" /><Relationship Type="http://schemas.openxmlformats.org/officeDocument/2006/relationships/worksheet" Target="/xl/worksheets/sheet16.xml" Id="R47e1f41b539e4050" /></Relationships>
</file>

<file path=xl/drawings/_rels/drawing1.xml.rels>&#65279;<?xml version="1.0" encoding="utf-8"?><Relationships xmlns="http://schemas.openxmlformats.org/package/2006/relationships"><Relationship Type="http://schemas.openxmlformats.org/officeDocument/2006/relationships/chart" Target="/xl/drawings/charts/chart1.xml" Id="R38a96775b93343db"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Completion by phase</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barChart>
        <c:barDir val="col"/>
        <c:varyColors val="0"/>
        <c:ser>
          <c:idx val="0"/>
          <c:order val="0"/>
          <c:tx>
            <c:v>Completion</c:v>
          </c:tx>
          <c:cat>
            <c:strRef>
              <c:f>'Dashboard'!$A$23:$A$31</c:f>
              <c:strCache>
                <c:ptCount val="0"/>
              </c:strCache>
            </c:strRef>
          </c:cat>
          <c:val>
            <c:numRef>
              <c:f>'Dashboard'!$D$23:$D$31</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4</xdr:row>
      <xdr:rowOff>0</xdr:rowOff>
    </xdr:from>
    <xdr:to>
      <xdr:col>14</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8a96775b93343db"/>
        </a:graphicData>
      </a:graphic>
    </xdr:graphicFrame>
    <xdr:clientData/>
  </xdr:twoCellAnchor>
</xdr:wsDr>
</file>

<file path=xl/tables/table1.xml><?xml version="1.0" encoding="utf-8"?>
<x:table xmlns:x="http://schemas.openxmlformats.org/spreadsheetml/2006/main" id="3" name="PhasesTable" displayName="PhasesTable" ref="A5:O14" headerRowCount="1" totalsRowCount="0" totalsRowShown="0">
  <x:autoFilter ref="A5:O14"/>
  <x:tableColumns count="15">
    <x:tableColumn id="1" name="Phase ID"/>
    <x:tableColumn id="2" name="Order"/>
    <x:tableColumn id="3" name="Title"/>
    <x:tableColumn id="4" name="Goal"/>
    <x:tableColumn id="5" name="Entry Criteria"/>
    <x:tableColumn id="6" name="Gate"/>
    <x:tableColumn id="7" name="Depends On"/>
    <x:tableColumn id="8" name="Minimum Days"/>
    <x:tableColumn id="9" name="Maximum Days"/>
    <x:tableColumn id="10" name="Critical Path"/>
    <x:tableColumn id="11" name="Atomic Steps"/>
    <x:tableColumn id="12" name="Done Steps"/>
    <x:tableColumn id="13" name="Completion"/>
    <x:tableColumn id="14" name="Gate Status"/>
    <x:tableColumn id="15" name="Phase Status"/>
  </x:tableColumns>
  <x:tableStyleInfo name="TableStyleMedium2" showFirstColumn="0" showLastColumn="0" showRowStripes="0" showColumnStripes="0"/>
</x:table>
</file>

<file path=xl/tables/table2.xml><?xml version="1.0" encoding="utf-8"?>
<x:table xmlns:x="http://schemas.openxmlformats.org/spreadsheetml/2006/main" id="1" name="WorkItemsTable" displayName="WorkItemsTable" ref="A5:W96" headerRowCount="1" totalsRowCount="0" totalsRowShown="0">
  <x:autoFilter ref="A5:W96"/>
  <x:tableColumns count="23">
    <x:tableColumn id="1" name="Sequence"/>
    <x:tableColumn id="2" name="Work Item ID"/>
    <x:tableColumn id="3" name="Phase"/>
    <x:tableColumn id="4" name="Phase Name"/>
    <x:tableColumn id="5" name="Gate"/>
    <x:tableColumn id="6" name="Workstream"/>
    <x:tableColumn id="7" name="Title"/>
    <x:tableColumn id="8" name="Action and substeps"/>
    <x:tableColumn id="9" name="Entry Criteria"/>
    <x:tableColumn id="10" name="Direct Dependencies"/>
    <x:tableColumn id="11" name="Blocking Decisions"/>
    <x:tableColumn id="12" name="Completion Evidence"/>
    <x:tableColumn id="13" name="Validation"/>
    <x:tableColumn id="14" name="Expected Artifacts"/>
    <x:tableColumn id="15" name="Owner Role"/>
    <x:tableColumn id="16" name="Execution Class"/>
    <x:tableColumn id="17" name="Parallel Lane"/>
    <x:tableColumn id="18" name="Initial Status"/>
    <x:tableColumn id="19" name="Live Status"/>
    <x:tableColumn id="20" name="Branch or PR"/>
    <x:tableColumn id="21" name="Evidence Path or URL"/>
    <x:tableColumn id="22" name="Notes"/>
    <x:tableColumn id="23" name="Source"/>
  </x:tableColumns>
  <x:tableStyleInfo name="TableStyleMedium2" showFirstColumn="0" showLastColumn="0" showRowStripes="0" showColumnStripes="0"/>
</x:table>
</file>

<file path=xl/tables/table3.xml><?xml version="1.0" encoding="utf-8"?>
<x:table xmlns:x="http://schemas.openxmlformats.org/spreadsheetml/2006/main" id="2" name="AtomicStepsTable" displayName="AtomicStepsTable" ref="A5:V248" headerRowCount="1" totalsRowCount="0" totalsRowShown="0">
  <x:autoFilter ref="A5:V248"/>
  <x:tableColumns count="22">
    <x:tableColumn id="1" name="Sequence"/>
    <x:tableColumn id="2" name="Atomic Step ID"/>
    <x:tableColumn id="3" name="Parent Work Item"/>
    <x:tableColumn id="4" name="Phase"/>
    <x:tableColumn id="5" name="Gate"/>
    <x:tableColumn id="6" name="Workstream"/>
    <x:tableColumn id="7" name="Step Type"/>
    <x:tableColumn id="8" name="Action"/>
    <x:tableColumn id="9" name="Depends On"/>
    <x:tableColumn id="10" name="Blocking Decisions"/>
    <x:tableColumn id="11" name="Required Evidence"/>
    <x:tableColumn id="12" name="Validation"/>
    <x:tableColumn id="13" name="Expected Artifacts"/>
    <x:tableColumn id="14" name="Status"/>
    <x:tableColumn id="15" name="Owner"/>
    <x:tableColumn id="16" name="Execution Class"/>
    <x:tableColumn id="17" name="Suggested Branch"/>
    <x:tableColumn id="18" name="Started UTC"/>
    <x:tableColumn id="19" name="Completed UTC"/>
    <x:tableColumn id="20" name="Evidence Path or URL"/>
    <x:tableColumn id="21" name="Notes"/>
    <x:tableColumn id="22" name="Source"/>
  </x:tableColumns>
  <x:tableStyleInfo name="TableStyleMedium2" showFirstColumn="0" showLastColumn="0" showRowStripes="0" showColumnStripes="0"/>
</x:table>
</file>

<file path=xl/tables/table4.xml><?xml version="1.0" encoding="utf-8"?>
<x:table xmlns:x="http://schemas.openxmlformats.org/spreadsheetml/2006/main" id="4" name="DecisionsTable" displayName="DecisionsTable" ref="A5:K23" headerRowCount="1" totalsRowCount="0" totalsRowShown="0">
  <x:autoFilter ref="A5:K23"/>
  <x:tableColumns count="11">
    <x:tableColumn id="1" name="Decision ID"/>
    <x:tableColumn id="2" name="Decision"/>
    <x:tableColumn id="3" name="Owner"/>
    <x:tableColumn id="4" name="Latest Blocking Point"/>
    <x:tableColumn id="5" name="Inputs and Criteria"/>
    <x:tableColumn id="6" name="Status"/>
    <x:tableColumn id="7" name="Decision Date UTC"/>
    <x:tableColumn id="8" name="Outcome"/>
    <x:tableColumn id="9" name="ADR or Evidence"/>
    <x:tableColumn id="10" name="Affected Work Items"/>
    <x:tableColumn id="11" name="Notes"/>
  </x:tableColumns>
  <x:tableStyleInfo name="TableStyleMedium2" showFirstColumn="0" showLastColumn="0" showRowStripes="0" showColumnStripes="0"/>
</x:table>
</file>

<file path=xl/tables/table5.xml><?xml version="1.0" encoding="utf-8"?>
<x:table xmlns:x="http://schemas.openxmlformats.org/spreadsheetml/2006/main" id="5" name="GateCriteriaTable" displayName="GateCriteriaTable" ref="A5:J67" headerRowCount="1" totalsRowCount="0" totalsRowShown="0">
  <x:autoFilter ref="A5:J67"/>
  <x:tableColumns count="10">
    <x:tableColumn id="1" name="Gate"/>
    <x:tableColumn id="2" name="Criterion ID"/>
    <x:tableColumn id="3" name="Criterion"/>
    <x:tableColumn id="4" name="Source"/>
    <x:tableColumn id="5" name="Required Evidence"/>
    <x:tableColumn id="6" name="Verifier"/>
    <x:tableColumn id="7" name="Status"/>
    <x:tableColumn id="8" name="Verified UTC"/>
    <x:tableColumn id="9" name="Evidence Path or URL"/>
    <x:tableColumn id="10" name="Notes"/>
  </x:tableColumns>
  <x:tableStyleInfo name="TableStyleMedium2" showFirstColumn="0" showLastColumn="0" showRowStripes="0" showColumnStripes="0"/>
</x:table>
</file>

<file path=xl/tables/table6.xml><?xml version="1.0" encoding="utf-8"?>
<x:table xmlns:x="http://schemas.openxmlformats.org/spreadsheetml/2006/main" id="6" name="DependenciesTable" displayName="DependenciesTable" ref="A5:I365" headerRowCount="1" totalsRowCount="0" totalsRowShown="0">
  <x:autoFilter ref="A5:I365"/>
  <x:tableColumns count="9">
    <x:tableColumn id="1" name="Dependency ID"/>
    <x:tableColumn id="2" name="Predecessor ID"/>
    <x:tableColumn id="3" name="Successor ID"/>
    <x:tableColumn id="4" name="Relation"/>
    <x:tableColumn id="5" name="Hard Dependency"/>
    <x:tableColumn id="6" name="Required State"/>
    <x:tableColumn id="7" name="Condition"/>
    <x:tableColumn id="8" name="Source"/>
    <x:tableColumn id="9" name="Notes"/>
  </x:tableColumns>
  <x:tableStyleInfo name="TableStyleMedium2" showFirstColumn="0" showLastColumn="0" showRowStripes="0" showColumnStripes="0"/>
</x:table>
</file>

<file path=xl/tables/table7.xml><?xml version="1.0" encoding="utf-8"?>
<x:table xmlns:x="http://schemas.openxmlformats.org/spreadsheetml/2006/main" id="7" name="RequirementsTable" displayName="RequirementsTable" ref="A5:I113" headerRowCount="1" totalsRowCount="0" totalsRowShown="0">
  <x:autoFilter ref="A5:I113"/>
  <x:tableColumns count="9">
    <x:tableColumn id="1" name="Requirement ID"/>
    <x:tableColumn id="2" name="Level"/>
    <x:tableColumn id="3" name="Requirement"/>
    <x:tableColumn id="4" name="Implemented By"/>
    <x:tableColumn id="5" name="Verified By"/>
    <x:tableColumn id="6" name="Source"/>
    <x:tableColumn id="7" name="Status"/>
    <x:tableColumn id="8" name="Evidence"/>
    <x:tableColumn id="9" name="Notes"/>
  </x:tableColumns>
  <x:tableStyleInfo name="TableStyleMedium2" showFirstColumn="0" showLastColumn="0" showRowStripes="0" showColumnStripes="0"/>
</x:table>
</file>

<file path=xl/tables/table8.xml><?xml version="1.0" encoding="utf-8"?>
<x:table xmlns:x="http://schemas.openxmlformats.org/spreadsheetml/2006/main" id="8" name="ArtifactsTable" displayName="ArtifactsTable" ref="A5:H32" headerRowCount="1" totalsRowCount="0" totalsRowShown="0">
  <x:autoFilter ref="A5:H32"/>
  <x:tableColumns count="8">
    <x:tableColumn id="1" name="Artifact ID"/>
    <x:tableColumn id="2" name="Path or Package"/>
    <x:tableColumn id="3" name="Disposition"/>
    <x:tableColumn id="4" name="Purpose"/>
    <x:tableColumn id="5" name="Owning Step or Range"/>
    <x:tableColumn id="6" name="Notes"/>
    <x:tableColumn id="7" name="Status"/>
    <x:tableColumn id="8" name="Evidence"/>
  </x:tableColumns>
  <x:tableStyleInfo name="TableStyleMedium2" showFirstColumn="0" showLastColumn="0" showRowStripes="0" showColumnStripes="0"/>
</x:table>
</file>

<file path=xl/tables/table9.xml><?xml version="1.0" encoding="utf-8"?>
<x:table xmlns:x="http://schemas.openxmlformats.org/spreadsheetml/2006/main" id="9" name="RisksTable" displayName="RisksTable" ref="A5:I31" headerRowCount="1" totalsRowCount="0" totalsRowShown="0">
  <x:autoFilter ref="A5:I31"/>
  <x:tableColumns count="9">
    <x:tableColumn id="1" name="Risk ID"/>
    <x:tableColumn id="2" name="Risk"/>
    <x:tableColumn id="3" name="Effect"/>
    <x:tableColumn id="4" name="Mitigation"/>
    <x:tableColumn id="5" name="Verified By"/>
    <x:tableColumn id="6" name="Owner"/>
    <x:tableColumn id="7" name="Status"/>
    <x:tableColumn id="8" name="Evidence or Review Date"/>
    <x:tableColumn id="9" name="Notes"/>
  </x:tableColumns>
  <x:tableStyleInfo name="TableStyleMedium2" showFirstColumn="0" showLastColumn="0" showRowStripes="0" showColumnStripes="0"/>
</x:table>
</file>

<file path=xl/tables/table10.xml><?xml version="1.0" encoding="utf-8"?>
<x:table xmlns:x="http://schemas.openxmlformats.org/spreadsheetml/2006/main" id="10" name="EvidenceTable" displayName="EvidenceTable" ref="A5:K35" headerRowCount="1" totalsRowCount="0" totalsRowShown="0">
  <x:autoFilter ref="A5:K35"/>
  <x:tableColumns count="11">
    <x:tableColumn id="1" name="Evidence ID"/>
    <x:tableColumn id="2" name="Target ID"/>
    <x:tableColumn id="3" name="Evidence Type"/>
    <x:tableColumn id="4" name="Repository Relative Path or URL"/>
    <x:tableColumn id="5" name="Verification Command or Method"/>
    <x:tableColumn id="6" name="Result"/>
    <x:tableColumn id="7" name="SHA-256"/>
    <x:tableColumn id="8" name="Recorded By"/>
    <x:tableColumn id="9" name="Recorded UTC"/>
    <x:tableColumn id="10" name="Approval or Signoff"/>
    <x:tableColumn id="11" name="Notes"/>
  </x:tableColumns>
  <x:tableStyleInfo name="TableStyleMedium2" showFirstColumn="0" showLastColumn="0" showRowStripes="0" showColumnStripes="0"/>
</x:table>
</file>

<file path=xl/tables/table11.xml><?xml version="1.0" encoding="utf-8"?>
<x:table xmlns:x="http://schemas.openxmlformats.org/spreadsheetml/2006/main" id="11" name="ProgressFieldsTable" displayName="ProgressFieldsTable" ref="A5:E28" headerRowCount="1" totalsRowCount="0" totalsRowShown="0">
  <x:autoFilter ref="A5:E28"/>
  <x:tableColumns count="5">
    <x:tableColumn id="1" name="Field Path"/>
    <x:tableColumn id="2" name="Type"/>
    <x:tableColumn id="3" name="Required"/>
    <x:tableColumn id="4" name="Rule"/>
    <x:tableColumn id="5" name="Example"/>
  </x:tableColumns>
  <x:tableStyleInfo name="TableStyleMedium2" showFirstColumn="0" showLastColumn="0" showRowStripes="0" showColumnStripes="0"/>
</x:table>
</file>

<file path=xl/tables/table12.xml><?xml version="1.0" encoding="utf-8"?>
<x:table xmlns:x="http://schemas.openxmlformats.org/spreadsheetml/2006/main" id="12" name="AgentSessionsTable" displayName="AgentSessionsTable" ref="A5:O25" headerRowCount="1" totalsRowCount="0" totalsRowShown="0">
  <x:autoFilter ref="A5:O25"/>
  <x:tableColumns count="15">
    <x:tableColumn id="1" name="Session ID"/>
    <x:tableColumn id="2" name="Actor"/>
    <x:tableColumn id="3" name="Model or Tool"/>
    <x:tableColumn id="4" name="Task ID"/>
    <x:tableColumn id="5" name="Atomic Step ID"/>
    <x:tableColumn id="6" name="Branch"/>
    <x:tableColumn id="7" name="Started UTC"/>
    <x:tableColumn id="8" name="Ended UTC"/>
    <x:tableColumn id="9" name="Outcome"/>
    <x:tableColumn id="10" name="Files Changed"/>
    <x:tableColumn id="11" name="Checks Run"/>
    <x:tableColumn id="12" name="Evidence"/>
    <x:tableColumn id="13" name="Blockers"/>
    <x:tableColumn id="14" name="Next Step"/>
    <x:tableColumn id="15" name="Handoff Path"/>
  </x:tableColumns>
  <x:tableStyleInfo name="TableStyleMedium2" showFirstColumn="0" showLastColumn="0" showRowStripes="0" showColumnStripes="0"/>
</x:table>
</file>

<file path=xl/tables/table13.xml><?xml version="1.0" encoding="utf-8"?>
<x:table xmlns:x="http://schemas.openxmlformats.org/spreadsheetml/2006/main" id="13" name="PlanChangesTable" displayName="PlanChangesTable" ref="A5:N25" headerRowCount="1" totalsRowCount="0" totalsRowShown="0">
  <x:autoFilter ref="A5:N25"/>
  <x:tableColumns count="14">
    <x:tableColumn id="1" name="Change ID"/>
    <x:tableColumn id="2" name="Plan Revision"/>
    <x:tableColumn id="3" name="Requested UTC"/>
    <x:tableColumn id="4" name="Requested By"/>
    <x:tableColumn id="5" name="Affected IDs"/>
    <x:tableColumn id="6" name="Reason"/>
    <x:tableColumn id="7" name="Proposed Change"/>
    <x:tableColumn id="8" name="Architecture or Protocol Impact"/>
    <x:tableColumn id="9" name="Approval Required From"/>
    <x:tableColumn id="10" name="Decision"/>
    <x:tableColumn id="11" name="Approved By"/>
    <x:tableColumn id="12" name="Approved UTC"/>
    <x:tableColumn id="13" name="Applied Commit"/>
    <x:tableColumn id="14" name="Notes"/>
  </x:tableColumns>
  <x:tableStyleInfo name="TableStyleMedium2"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f9ebf0a6d1444dd4" /></Relationships>
</file>

<file path=xl/worksheets/_rels/sheet3.xml.rels>&#65279;<?xml version="1.0" encoding="utf-8"?><Relationships xmlns="http://schemas.openxmlformats.org/package/2006/relationships"><Relationship Type="http://schemas.openxmlformats.org/officeDocument/2006/relationships/table" Target="/xl/tables/table1.xml" Id="Rcfbbea60b5e44b4a" /></Relationships>
</file>

<file path=xl/worksheets/_rels/sheet4.xml.rels>&#65279;<?xml version="1.0" encoding="utf-8"?><Relationships xmlns="http://schemas.openxmlformats.org/package/2006/relationships"><Relationship Type="http://schemas.openxmlformats.org/officeDocument/2006/relationships/table" Target="/xl/tables/table2.xml" Id="Rea9785c848ea44dd" /></Relationships>
</file>

<file path=xl/worksheets/_rels/sheet5.xml.rels>&#65279;<?xml version="1.0" encoding="utf-8"?><Relationships xmlns="http://schemas.openxmlformats.org/package/2006/relationships"><Relationship Type="http://schemas.openxmlformats.org/officeDocument/2006/relationships/table" Target="/xl/tables/table3.xml" Id="R85310309eb134944" /></Relationships>
</file>

<file path=xl/worksheets/_rels/sheet6.xml.rels>&#65279;<?xml version="1.0" encoding="utf-8"?><Relationships xmlns="http://schemas.openxmlformats.org/package/2006/relationships"><Relationship Type="http://schemas.openxmlformats.org/officeDocument/2006/relationships/table" Target="/xl/tables/table4.xml" Id="Rfb348f41abea4453" /></Relationships>
</file>

<file path=xl/worksheets/_rels/sheet7.xml.rels>&#65279;<?xml version="1.0" encoding="utf-8"?><Relationships xmlns="http://schemas.openxmlformats.org/package/2006/relationships"><Relationship Type="http://schemas.openxmlformats.org/officeDocument/2006/relationships/table" Target="/xl/tables/table5.xml" Id="R34c6b8a85f12469f" /></Relationships>
</file>

<file path=xl/worksheets/_rels/sheet8.xml.rels>&#65279;<?xml version="1.0" encoding="utf-8"?><Relationships xmlns="http://schemas.openxmlformats.org/package/2006/relationships"><Relationship Type="http://schemas.openxmlformats.org/officeDocument/2006/relationships/table" Target="/xl/tables/table6.xml" Id="R70ba979e3b55404e" /></Relationships>
</file>

<file path=xl/worksheets/_rels/sheet9.xml.rels>&#65279;<?xml version="1.0" encoding="utf-8"?><Relationships xmlns="http://schemas.openxmlformats.org/package/2006/relationships"><Relationship Type="http://schemas.openxmlformats.org/officeDocument/2006/relationships/table" Target="/xl/tables/table7.xml" Id="Rc3d05a00a6a44ac7" /></Relationships>
</file>

<file path=xl/worksheets/_rels/sheet10.xml.rels>&#65279;<?xml version="1.0" encoding="utf-8"?><Relationships xmlns="http://schemas.openxmlformats.org/package/2006/relationships"><Relationship Type="http://schemas.openxmlformats.org/officeDocument/2006/relationships/table" Target="/xl/tables/table8.xml" Id="R675ef2714a2d4588" /></Relationships>
</file>

<file path=xl/worksheets/_rels/sheet11.xml.rels>&#65279;<?xml version="1.0" encoding="utf-8"?><Relationships xmlns="http://schemas.openxmlformats.org/package/2006/relationships"><Relationship Type="http://schemas.openxmlformats.org/officeDocument/2006/relationships/table" Target="/xl/tables/table9.xml" Id="Rea19588f81604fed" /></Relationships>
</file>

<file path=xl/worksheets/_rels/sheet12.xml.rels>&#65279;<?xml version="1.0" encoding="utf-8"?><Relationships xmlns="http://schemas.openxmlformats.org/package/2006/relationships"><Relationship Type="http://schemas.openxmlformats.org/officeDocument/2006/relationships/table" Target="/xl/tables/table10.xml" Id="R0508d4ccd8ff4fe1" /></Relationships>
</file>

<file path=xl/worksheets/_rels/sheet13.xml.rels>&#65279;<?xml version="1.0" encoding="utf-8"?><Relationships xmlns="http://schemas.openxmlformats.org/package/2006/relationships"><Relationship Type="http://schemas.openxmlformats.org/officeDocument/2006/relationships/table" Target="/xl/tables/table11.xml" Id="R9054a3ce63e347bf" /></Relationships>
</file>

<file path=xl/worksheets/_rels/sheet14.xml.rels>&#65279;<?xml version="1.0" encoding="utf-8"?><Relationships xmlns="http://schemas.openxmlformats.org/package/2006/relationships"><Relationship Type="http://schemas.openxmlformats.org/officeDocument/2006/relationships/table" Target="/xl/tables/table12.xml" Id="Re13cd8a1c48e4cc7" /></Relationships>
</file>

<file path=xl/worksheets/_rels/sheet15.xml.rels>&#65279;<?xml version="1.0" encoding="utf-8"?><Relationships xmlns="http://schemas.openxmlformats.org/package/2006/relationships"><Relationship Type="http://schemas.openxmlformats.org/officeDocument/2006/relationships/table" Target="/xl/tables/table13.xml" Id="R1643fa0f427c48ef" /></Relationships>
</file>

<file path=xl/worksheets/sheet1.xml><?xml version="1.0" encoding="utf-8"?>
<x:worksheet xmlns:x="http://schemas.openxmlformats.org/spreadsheetml/2006/main">
  <x:sheetPr>
    <x:tabColor rgb="FF17365D"/>
  </x:sheetPr>
  <x:sheetViews>
    <x:sheetView showGridLines="0" workbookViewId="0">
      <x:pane ySplit="3" topLeftCell="A4" activePane="bottomLeft" state="frozen"/>
    </x:sheetView>
  </x:sheetViews>
  <x:sheetFormatPr defaultRowHeight="15"/>
  <x:cols>
    <x:col min="1" max="1" width="25" hidden="0" customWidth="1"/>
    <x:col min="2" max="2" width="105" hidden="0" customWidth="1"/>
  </x:cols>
  <x:sheetData>
    <x:row r="1" ht="28" customHeight="1">
      <x:c r="A1" s="1" t="str">
        <x:v>ELTS implementation workbook</x:v>
      </x:c>
    </x:row>
    <x:row r="2">
      <x:c r="A2" s="2" t="str">
        <x:v>Execution baseline for repository architecture, portability, scientific integrity, and multi-agent work</x:v>
      </x:c>
    </x:row>
    <x:row r="3">
      <x:c r="A3" s="3"/>
      <x:c r="B3" s="3"/>
      <x:c r="C3" s="3"/>
      <x:c r="D3" s="3"/>
      <x:c r="E3" s="3"/>
      <x:c r="F3" s="3"/>
      <x:c r="G3" s="3"/>
      <x:c r="H3" s="3"/>
      <x:c r="I3" s="3"/>
      <x:c r="J3" s="3"/>
    </x:row>
    <x:row r="5">
      <x:c r="A5" s="11" t="str">
        <x:v>Workbook role</x:v>
      </x:c>
      <x:c r="B5" s="12" t="str">
        <x:v>Immutable bootstrap plan. After import, project-management/task-catalog.json is the machine-readable plan and PROJECT_STATE.json is the live generated status.</x:v>
      </x:c>
    </x:row>
    <x:row r="6">
      <x:c r="A6" s="11" t="str">
        <x:v>Specification role</x:v>
      </x:c>
      <x:c r="B6" s="12" t="str">
        <x:v>ELTS_Repository_Portability_and_Multi_LLM_Architecture_Specification.docx is the normative architecture contract. Scientific and safety invariants outrank all lower-level artifacts.</x:v>
      </x:c>
    </x:row>
    <x:row r="7">
      <x:c r="A7" s="11" t="str">
        <x:v>Initial exact step</x:v>
      </x:c>
      <x:c r="B7" s="12" t="str">
        <x:v>P0.3.S001 - inventory the repository without modifying or discarding existing work.</x:v>
      </x:c>
    </x:row>
    <x:row r="8">
      <x:c r="A8" s="11" t="str">
        <x:v>First write</x:v>
      </x:c>
      <x:c r="B8" s="12" t="str">
        <x:v>Create the progress schemas, initial append-only event, reducer entry point, and generated PROJECT_STATE.json before making other architecture changes.</x:v>
      </x:c>
    </x:row>
    <x:row r="9">
      <x:c r="A9" s="11" t="str">
        <x:v>Source of truth order</x:v>
      </x:c>
      <x:c r="B9" s="12" t="str">
        <x:v>Approved research protocol and safety constraints; architecture specification; accepted ADRs; module contracts; this baseline plan and normalized task catalog; code comments.</x:v>
      </x:c>
    </x:row>
    <x:row r="10">
      <x:c r="A10" s="11" t="str">
        <x:v>Live status precedence</x:v>
      </x:c>
      <x:c r="B10" s="12" t="str">
        <x:v>PROJECT_STATE.json and its append-only source events override the editable Status columns in this workbook. Trello and GitHub Issues are coordination mirrors.</x:v>
      </x:c>
    </x:row>
    <x:row r="11">
      <x:c r="A11" s="11" t="str">
        <x:v>Agent rule</x:v>
      </x:c>
      <x:c r="B11" s="12" t="str">
        <x:v>Read both deliverables in full, preserve unchanged copies, export normalized data, claim one bounded task, record a start event, implement, verify, attach evidence, and record a completion or blocker event.</x:v>
      </x:c>
    </x:row>
    <x:row r="12">
      <x:c r="A12" s="11" t="str">
        <x:v>Decision rule</x:v>
      </x:c>
      <x:c r="B12" s="12" t="str">
        <x:v>Never invent D-01 through D-18 values. Record a blocker or prepare an ADR when a human decision is required.</x:v>
      </x:c>
    </x:row>
    <x:row r="13">
      <x:c r="A13" s="11" t="str">
        <x:v>Gate rule</x:v>
      </x:c>
      <x:c r="B13" s="12" t="str">
        <x:v>G0 through G8 are hard gates. Completed tasks do not pass a gate. A gate requires an explicit evidence-backed pass event and any required human attestation.</x:v>
      </x:c>
    </x:row>
    <x:row r="14">
      <x:c r="A14" s="11" t="str">
        <x:v>Repository</x:v>
      </x:c>
      <x:c r="B14" s="12" t="str">
        <x:v>https://github.com/AceeEcho/DESS-ELTS-Research-Software</x:v>
      </x:c>
    </x:row>
    <x:row r="15">
      <x:c r="A15" s="11" t="str">
        <x:v>Baseline date</x:v>
      </x:c>
      <x:c r="B15" s="12" t="str">
        <x:v>2026-09-04</x:v>
      </x:c>
    </x:row>
    <x:row r="16">
      <x:c r="A16" s="11" t="str">
        <x:v>Build-plan SHA-256</x:v>
      </x:c>
      <x:c r="B16" s="12" t="str">
        <x:v>2EDA196256668AC23D5F80497ACB1A040BA8E28E1AA53FB6195C6AF75B71F01F</x:v>
      </x:c>
    </x:row>
    <x:row r="18">
      <x:c r="A18" s="14" t="str">
        <x:v>Initial coding-agent directive</x:v>
      </x:c>
    </x:row>
    <x:row r="19">
      <x:c r="A19" s="18" t="str">
        <x:v>Read the specification and this workbook in full before editing. Inventory the repository and preserve all existing work. Create the event-sourced progress system first and make PROJECT_STATE.json report P0.3.S001 or the next valid atomic step. Preserve both source artifacts under project-management/baseline, hash them, export every registry to versioned JSON or CSV, and validate stable IDs. Work on a temporary branch. Do not push directly to main, invent open research decisions, weaken safety controls, place research data in Git, or mark work done without evidence. Finish each task by running its validation, updating affected documentation, emitting a progress event, regenerating PROJECT_STATE.json, and leaving a complete handoff.</x:v>
      </x:c>
      <x:c r="B19" s="19"/>
      <x:c r="C19" s="19"/>
      <x:c r="D19" s="19"/>
      <x:c r="E19" s="19"/>
      <x:c r="F19" s="19"/>
      <x:c r="G19" s="19"/>
      <x:c r="H19" s="19"/>
      <x:c r="I19" s="19"/>
      <x:c r="J19" s="20"/>
    </x:row>
    <x:row r="20">
      <x:c r="A20" s="21"/>
      <x:c r="B20" s="22"/>
      <x:c r="C20" s="22"/>
      <x:c r="D20" s="22"/>
      <x:c r="E20" s="22"/>
      <x:c r="F20" s="22"/>
      <x:c r="G20" s="22"/>
      <x:c r="H20" s="22"/>
      <x:c r="I20" s="22"/>
      <x:c r="J20" s="23"/>
    </x:row>
    <x:row r="21">
      <x:c r="A21" s="21"/>
      <x:c r="B21" s="22"/>
      <x:c r="C21" s="22"/>
      <x:c r="D21" s="22"/>
      <x:c r="E21" s="22"/>
      <x:c r="F21" s="22"/>
      <x:c r="G21" s="22"/>
      <x:c r="H21" s="22"/>
      <x:c r="I21" s="22"/>
      <x:c r="J21" s="23"/>
    </x:row>
    <x:row r="22">
      <x:c r="A22" s="21"/>
      <x:c r="B22" s="22"/>
      <x:c r="C22" s="22"/>
      <x:c r="D22" s="22"/>
      <x:c r="E22" s="22"/>
      <x:c r="F22" s="22"/>
      <x:c r="G22" s="22"/>
      <x:c r="H22" s="22"/>
      <x:c r="I22" s="22"/>
      <x:c r="J22" s="23"/>
    </x:row>
    <x:row r="23">
      <x:c r="A23" s="24"/>
      <x:c r="B23" s="25"/>
      <x:c r="C23" s="25"/>
      <x:c r="D23" s="25"/>
      <x:c r="E23" s="25"/>
      <x:c r="F23" s="25"/>
      <x:c r="G23" s="25"/>
      <x:c r="H23" s="25"/>
      <x:c r="I23" s="25"/>
      <x:c r="J23" s="26"/>
    </x:row>
  </x:sheetData>
  <x:mergeCells>
    <x:mergeCell ref="A1:J1"/>
    <x:mergeCell ref="A2:J2"/>
    <x:mergeCell ref="A18:J18"/>
    <x:mergeCell ref="A19:J23"/>
  </x:mergeCells>
  <x:pageMargins left="0.7" right="0.7" top="0.75" bottom="0.75" header="0.3" footer="0.3"/>
</x:worksheet>
</file>

<file path=xl/worksheets/sheet2.xml><?xml version="1.0" encoding="utf-8"?>
<x:worksheet xmlns:x="http://schemas.openxmlformats.org/spreadsheetml/2006/main">
  <x:sheetPr>
    <x:tabColor rgb="FF5B9BD5"/>
  </x:sheetPr>
  <x:sheetViews>
    <x:sheetView showGridLines="0" workbookViewId="0">
      <x:pane ySplit="3" topLeftCell="A4" activePane="bottomLeft" state="frozen"/>
    </x:sheetView>
  </x:sheetViews>
  <x:sheetFormatPr defaultRowHeight="15"/>
  <x:cols>
    <x:col min="1" max="1" width="26" hidden="0" customWidth="1"/>
    <x:col min="2" max="2" width="28" hidden="0" customWidth="1"/>
    <x:col min="3" max="3" width="16" hidden="0" customWidth="1"/>
    <x:col min="4" max="4" width="16" hidden="0" customWidth="1"/>
    <x:col min="5" max="5" width="16" hidden="0" customWidth="1"/>
  </x:cols>
  <x:sheetData>
    <x:row r="1" ht="28" customHeight="1">
      <x:c r="A1" s="1" t="str">
        <x:v>ELTS progress dashboard</x:v>
      </x:c>
    </x:row>
    <x:row r="2">
      <x:c r="A2" s="2" t="str">
        <x:v>Formula-driven view of the workbook baseline. The repository-generated PROJECT_STATE.json is authoritative after bootstrap.</x:v>
      </x:c>
    </x:row>
    <x:row r="3">
      <x:c r="A3" s="3"/>
      <x:c r="B3" s="3"/>
      <x:c r="C3" s="3"/>
      <x:c r="D3" s="3"/>
      <x:c r="E3" s="3"/>
      <x:c r="F3" s="3"/>
      <x:c r="G3" s="3"/>
      <x:c r="H3" s="3"/>
      <x:c r="I3" s="3"/>
      <x:c r="J3" s="3"/>
      <x:c r="K3" s="3"/>
      <x:c r="L3" s="3"/>
    </x:row>
    <x:row r="5" ht="32" customHeight="1">
      <x:c r="A5" s="31" t="str">
        <x:v>Metric</x:v>
      </x:c>
      <x:c r="B5" s="31" t="str">
        <x:v>Value</x:v>
      </x:c>
    </x:row>
    <x:row r="6">
      <x:c r="A6" s="10" t="str">
        <x:v>Atomic steps</x:v>
      </x:c>
      <x:c r="B6" s="10" t="n">
        <x:f>ROWS('Atomic Steps'!$B$6:$B$248)</x:f>
        <x:v>243</x:v>
      </x:c>
    </x:row>
    <x:row r="7">
      <x:c r="A7" s="10" t="str">
        <x:v>Done</x:v>
      </x:c>
      <x:c r="B7" s="10" t="n">
        <x:f>COUNTIF('Atomic Steps'!$N$6:$N$248,"done")</x:f>
        <x:v>0</x:v>
      </x:c>
    </x:row>
    <x:row r="8">
      <x:c r="A8" s="10" t="str">
        <x:v>In progress</x:v>
      </x:c>
      <x:c r="B8" s="10" t="n">
        <x:f>COUNTIF('Atomic Steps'!$N$6:$N$248,"in_progress")</x:f>
        <x:v>0</x:v>
      </x:c>
    </x:row>
    <x:row r="9">
      <x:c r="A9" s="10" t="str">
        <x:v>Blocked</x:v>
      </x:c>
      <x:c r="B9" s="10" t="n">
        <x:f>COUNTIF('Atomic Steps'!$N$6:$N$248,"blocked")</x:f>
        <x:v>0</x:v>
      </x:c>
    </x:row>
    <x:row r="10">
      <x:c r="A10" s="10" t="str">
        <x:v>Verification pending</x:v>
      </x:c>
      <x:c r="B10" s="10" t="n">
        <x:f>COUNTIF('Atomic Steps'!$N$6:$N$248,"verification_pending")</x:f>
        <x:v>0</x:v>
      </x:c>
    </x:row>
    <x:row r="11">
      <x:c r="A11" s="10" t="str">
        <x:v>Open decisions</x:v>
      </x:c>
      <x:c r="B11" s="10" t="n">
        <x:f>COUNTIF(Decisions!$F$6:$F$23,"open")</x:f>
        <x:v>17</x:v>
      </x:c>
    </x:row>
    <x:row r="12">
      <x:c r="A12" s="10" t="str">
        <x:v>Passed gate criteria</x:v>
      </x:c>
      <x:c r="B12" s="10" t="n">
        <x:f>COUNTIF('Gate Criteria'!$G$6:$G$67,"pass")</x:f>
        <x:v>0</x:v>
      </x:c>
    </x:row>
    <x:row r="13">
      <x:c r="A13" s="33" t="str">
        <x:v>Overall completion</x:v>
      </x:c>
      <x:c r="B13" s="40" t="n">
        <x:f>IF(B6=0,0,B7/B6)</x:f>
        <x:v>0</x:v>
      </x:c>
    </x:row>
    <x:row r="15" ht="32" customHeight="1">
      <x:c r="A15" s="31" t="str">
        <x:v>Current-state field</x:v>
      </x:c>
      <x:c r="B15" s="31" t="str">
        <x:v>Baseline value</x:v>
      </x:c>
    </x:row>
    <x:row r="16">
      <x:c r="A16" s="10" t="str">
        <x:v>Initial exact step</x:v>
      </x:c>
      <x:c r="B16" s="10" t="str">
        <x:v>P0.3.S001</x:v>
      </x:c>
    </x:row>
    <x:row r="17">
      <x:c r="A17" s="10" t="str">
        <x:v>Initial phase</x:v>
      </x:c>
      <x:c r="B17" s="10" t="str">
        <x:v>P0</x:v>
      </x:c>
    </x:row>
    <x:row r="18">
      <x:c r="A18" s="10" t="str">
        <x:v>Current gate</x:v>
      </x:c>
      <x:c r="B18" s="10" t="str">
        <x:v>G0 open</x:v>
      </x:c>
    </x:row>
    <x:row r="19">
      <x:c r="A19" s="10" t="str">
        <x:v>Canonical live file</x:v>
      </x:c>
      <x:c r="B19" s="10" t="str">
        <x:v>PROJECT_STATE.json</x:v>
      </x:c>
    </x:row>
    <x:row r="20">
      <x:c r="A20" s="33" t="str">
        <x:v>Update method</x:v>
      </x:c>
      <x:c r="B20" s="33" t="str">
        <x:v>Append progress event, run reducer, commit regenerated state</x:v>
      </x:c>
    </x:row>
    <x:row r="22" ht="32" customHeight="1">
      <x:c r="A22" s="31" t="str">
        <x:v>Phase</x:v>
      </x:c>
      <x:c r="B22" s="31" t="str">
        <x:v>Total Steps</x:v>
      </x:c>
      <x:c r="C22" s="31" t="str">
        <x:v>Done</x:v>
      </x:c>
      <x:c r="D22" s="31" t="str">
        <x:v>Completion</x:v>
      </x:c>
      <x:c r="E22" s="31" t="str">
        <x:v>Gate</x:v>
      </x:c>
    </x:row>
    <x:row r="23">
      <x:c r="A23" s="10" t="str">
        <x:v>P0</x:v>
      </x:c>
      <x:c r="B23" s="10" t="n">
        <x:f>COUNTIF('Atomic Steps'!$D$6:$D$248,A23)</x:f>
        <x:v>40</x:v>
      </x:c>
      <x:c r="C23" s="10" t="n">
        <x:f>COUNTIFS('Atomic Steps'!$D$6:$D$248,A23,'Atomic Steps'!$N$6:$N$248,"done")</x:f>
        <x:v>0</x:v>
      </x:c>
      <x:c r="D23" s="38" t="n">
        <x:f>IF(B23=0,0,C23/B23)</x:f>
        <x:v>0</x:v>
      </x:c>
      <x:c r="E23" s="10" t="str">
        <x:v>G0</x:v>
      </x:c>
    </x:row>
    <x:row r="24">
      <x:c r="A24" s="10" t="str">
        <x:v>P1</x:v>
      </x:c>
      <x:c r="B24" s="10" t="n">
        <x:f>COUNTIF('Atomic Steps'!$D$6:$D$248,A24)</x:f>
        <x:v>37</x:v>
      </x:c>
      <x:c r="C24" s="10" t="n">
        <x:f>COUNTIFS('Atomic Steps'!$D$6:$D$248,A24,'Atomic Steps'!$N$6:$N$248,"done")</x:f>
        <x:v>0</x:v>
      </x:c>
      <x:c r="D24" s="38" t="n">
        <x:f>IF(B24=0,0,C24/B24)</x:f>
        <x:v>0</x:v>
      </x:c>
      <x:c r="E24" s="10" t="str">
        <x:v>G1</x:v>
      </x:c>
    </x:row>
    <x:row r="25">
      <x:c r="A25" s="10" t="str">
        <x:v>P2</x:v>
      </x:c>
      <x:c r="B25" s="10" t="n">
        <x:f>COUNTIF('Atomic Steps'!$D$6:$D$248,A25)</x:f>
        <x:v>30</x:v>
      </x:c>
      <x:c r="C25" s="10" t="n">
        <x:f>COUNTIFS('Atomic Steps'!$D$6:$D$248,A25,'Atomic Steps'!$N$6:$N$248,"done")</x:f>
        <x:v>0</x:v>
      </x:c>
      <x:c r="D25" s="38" t="n">
        <x:f>IF(B25=0,0,C25/B25)</x:f>
        <x:v>0</x:v>
      </x:c>
      <x:c r="E25" s="10" t="str">
        <x:v>G2</x:v>
      </x:c>
    </x:row>
    <x:row r="26">
      <x:c r="A26" s="10" t="str">
        <x:v>P3</x:v>
      </x:c>
      <x:c r="B26" s="10" t="n">
        <x:f>COUNTIF('Atomic Steps'!$D$6:$D$248,A26)</x:f>
        <x:v>19</x:v>
      </x:c>
      <x:c r="C26" s="10" t="n">
        <x:f>COUNTIFS('Atomic Steps'!$D$6:$D$248,A26,'Atomic Steps'!$N$6:$N$248,"done")</x:f>
        <x:v>0</x:v>
      </x:c>
      <x:c r="D26" s="38" t="n">
        <x:f>IF(B26=0,0,C26/B26)</x:f>
        <x:v>0</x:v>
      </x:c>
      <x:c r="E26" s="10" t="str">
        <x:v>G3</x:v>
      </x:c>
    </x:row>
    <x:row r="27">
      <x:c r="A27" s="10" t="str">
        <x:v>P4</x:v>
      </x:c>
      <x:c r="B27" s="10" t="n">
        <x:f>COUNTIF('Atomic Steps'!$D$6:$D$248,A27)</x:f>
        <x:v>33</x:v>
      </x:c>
      <x:c r="C27" s="10" t="n">
        <x:f>COUNTIFS('Atomic Steps'!$D$6:$D$248,A27,'Atomic Steps'!$N$6:$N$248,"done")</x:f>
        <x:v>0</x:v>
      </x:c>
      <x:c r="D27" s="38" t="n">
        <x:f>IF(B27=0,0,C27/B27)</x:f>
        <x:v>0</x:v>
      </x:c>
      <x:c r="E27" s="10" t="str">
        <x:v>G4</x:v>
      </x:c>
    </x:row>
    <x:row r="28">
      <x:c r="A28" s="10" t="str">
        <x:v>P5</x:v>
      </x:c>
      <x:c r="B28" s="10" t="n">
        <x:f>COUNTIF('Atomic Steps'!$D$6:$D$248,A28)</x:f>
        <x:v>20</x:v>
      </x:c>
      <x:c r="C28" s="10" t="n">
        <x:f>COUNTIFS('Atomic Steps'!$D$6:$D$248,A28,'Atomic Steps'!$N$6:$N$248,"done")</x:f>
        <x:v>0</x:v>
      </x:c>
      <x:c r="D28" s="38" t="n">
        <x:f>IF(B28=0,0,C28/B28)</x:f>
        <x:v>0</x:v>
      </x:c>
      <x:c r="E28" s="10" t="str">
        <x:v>G5</x:v>
      </x:c>
    </x:row>
    <x:row r="29">
      <x:c r="A29" s="10" t="str">
        <x:v>P6</x:v>
      </x:c>
      <x:c r="B29" s="10" t="n">
        <x:f>COUNTIF('Atomic Steps'!$D$6:$D$248,A29)</x:f>
        <x:v>30</x:v>
      </x:c>
      <x:c r="C29" s="10" t="n">
        <x:f>COUNTIFS('Atomic Steps'!$D$6:$D$248,A29,'Atomic Steps'!$N$6:$N$248,"done")</x:f>
        <x:v>0</x:v>
      </x:c>
      <x:c r="D29" s="38" t="n">
        <x:f>IF(B29=0,0,C29/B29)</x:f>
        <x:v>0</x:v>
      </x:c>
      <x:c r="E29" s="10" t="str">
        <x:v>G6</x:v>
      </x:c>
    </x:row>
    <x:row r="30">
      <x:c r="A30" s="10" t="str">
        <x:v>P7</x:v>
      </x:c>
      <x:c r="B30" s="10" t="n">
        <x:f>COUNTIF('Atomic Steps'!$D$6:$D$248,A30)</x:f>
        <x:v>18</x:v>
      </x:c>
      <x:c r="C30" s="10" t="n">
        <x:f>COUNTIFS('Atomic Steps'!$D$6:$D$248,A30,'Atomic Steps'!$N$6:$N$248,"done")</x:f>
        <x:v>0</x:v>
      </x:c>
      <x:c r="D30" s="38" t="n">
        <x:f>IF(B30=0,0,C30/B30)</x:f>
        <x:v>0</x:v>
      </x:c>
      <x:c r="E30" s="10" t="str">
        <x:v>G7</x:v>
      </x:c>
    </x:row>
    <x:row r="31">
      <x:c r="A31" s="33" t="str">
        <x:v>P8</x:v>
      </x:c>
      <x:c r="B31" s="33" t="n">
        <x:f>COUNTIF('Atomic Steps'!$D$6:$D$248,A31)</x:f>
        <x:v>16</x:v>
      </x:c>
      <x:c r="C31" s="33" t="n">
        <x:f>COUNTIFS('Atomic Steps'!$D$6:$D$248,A31,'Atomic Steps'!$N$6:$N$248,"done")</x:f>
        <x:v>0</x:v>
      </x:c>
      <x:c r="D31" s="40" t="n">
        <x:f>IF(B31=0,0,C31/B31)</x:f>
        <x:v>0</x:v>
      </x:c>
      <x:c r="E31" s="33" t="str">
        <x:v>G8</x:v>
      </x:c>
    </x:row>
  </x:sheetData>
  <x:mergeCells>
    <x:mergeCell ref="A1:L1"/>
    <x:mergeCell ref="A2:L2"/>
  </x:mergeCells>
  <x:pageMargins left="0.7" right="0.7" top="0.75" bottom="0.75" header="0.3" footer="0.3"/>
  <x:drawing xmlns:r="http://schemas.openxmlformats.org/officeDocument/2006/relationships" r:id="Rf9ebf0a6d1444dd4"/>
</x:worksheet>
</file>

<file path=xl/worksheets/sheet3.xml><?xml version="1.0" encoding="utf-8"?>
<x:worksheet xmlns:x="http://schemas.openxmlformats.org/spreadsheetml/2006/main">
  <x:sheetPr>
    <x:tabColor rgb="FF5B9BD5"/>
  </x:sheetPr>
  <x:sheetViews>
    <x:sheetView showGridLines="0" workbookViewId="0">
      <x:pane xSplit="2" ySplit="5" topLeftCell="C6" activePane="bottomRight" state="frozen"/>
    </x:sheetView>
  </x:sheetViews>
  <x:sheetFormatPr defaultRowHeight="15"/>
  <x:cols>
    <x:col min="1" max="1" width="11" hidden="0" customWidth="1"/>
    <x:col min="2" max="2" width="8" hidden="0" customWidth="1"/>
    <x:col min="3" max="3" width="24" hidden="0" customWidth="1"/>
    <x:col min="4" max="4" width="65" hidden="0" customWidth="1"/>
    <x:col min="5" max="5" width="52" hidden="0" customWidth="1"/>
    <x:col min="6" max="6" width="9" hidden="0" customWidth="1"/>
    <x:col min="7" max="7" width="30"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8" hidden="0" customWidth="1"/>
    <x:col min="15" max="15" width="18" hidden="0" customWidth="1"/>
  </x:cols>
  <x:sheetData>
    <x:row r="1" ht="28" customHeight="1">
      <x:c r="A1" s="1" t="str">
        <x:v>ELTS phases</x:v>
      </x:c>
    </x:row>
    <x:row r="2">
      <x:c r="A2" s="2" t="str">
        <x:v>Phase progress derives from atomic steps; gate state derives from evidence-backed criterion status.</x:v>
      </x:c>
    </x:row>
    <x:row r="3">
      <x:c r="A3" s="3"/>
      <x:c r="B3" s="3"/>
      <x:c r="C3" s="3"/>
      <x:c r="D3" s="3"/>
      <x:c r="E3" s="3"/>
      <x:c r="F3" s="3"/>
      <x:c r="G3" s="3"/>
      <x:c r="H3" s="3"/>
      <x:c r="I3" s="3"/>
      <x:c r="J3" s="3"/>
      <x:c r="K3" s="3"/>
      <x:c r="L3" s="3"/>
      <x:c r="M3" s="3"/>
      <x:c r="N3" s="3"/>
      <x:c r="O3" s="3"/>
    </x:row>
    <x:row r="5" ht="32" customHeight="1">
      <x:c r="A5" s="31" t="str">
        <x:v>Phase ID</x:v>
      </x:c>
      <x:c r="B5" s="31" t="str">
        <x:v>Order</x:v>
      </x:c>
      <x:c r="C5" s="31" t="str">
        <x:v>Title</x:v>
      </x:c>
      <x:c r="D5" s="31" t="str">
        <x:v>Goal</x:v>
      </x:c>
      <x:c r="E5" s="31" t="str">
        <x:v>Entry Criteria</x:v>
      </x:c>
      <x:c r="F5" s="31" t="str">
        <x:v>Gate</x:v>
      </x:c>
      <x:c r="G5" s="31" t="str">
        <x:v>Depends On</x:v>
      </x:c>
      <x:c r="H5" s="31" t="str">
        <x:v>Minimum Days</x:v>
      </x:c>
      <x:c r="I5" s="31" t="str">
        <x:v>Maximum Days</x:v>
      </x:c>
      <x:c r="J5" s="31" t="str">
        <x:v>Critical Path</x:v>
      </x:c>
      <x:c r="K5" s="31" t="str">
        <x:v>Atomic Steps</x:v>
      </x:c>
      <x:c r="L5" s="31" t="str">
        <x:v>Done Steps</x:v>
      </x:c>
      <x:c r="M5" s="31" t="str">
        <x:v>Completion</x:v>
      </x:c>
      <x:c r="N5" s="31" t="str">
        <x:v>Gate Status</x:v>
      </x:c>
      <x:c r="O5" s="31" t="str">
        <x:v>Phase Status</x:v>
      </x:c>
    </x:row>
    <x:row r="6">
      <x:c r="A6" s="10" t="str">
        <x:v>P0</x:v>
      </x:c>
      <x:c r="B6" s="10" t="n">
        <x:v>0</x:v>
      </x:c>
      <x:c r="C6" s="10" t="str">
        <x:v>Foundations</x:v>
      </x:c>
      <x:c r="D6" s="10" t="str">
        <x:v>Put procurement, study PC, repository, decisions, safety documentation, and room information in place.</x:v>
      </x:c>
      <x:c r="E6" s="10" t="str">
        <x:v>Project start</x:v>
      </x:c>
      <x:c r="F6" s="10" t="str">
        <x:v>G0</x:v>
      </x:c>
      <x:c r="G6" s="10" t="str"/>
      <x:c r="H6" s="10" t="n">
        <x:v>3</x:v>
      </x:c>
      <x:c r="I6" s="10" t="n">
        <x:v>5</x:v>
      </x:c>
      <x:c r="J6" s="10" t="str">
        <x:v>no</x:v>
      </x:c>
      <x:c r="K6" s="10" t="n">
        <x:f>COUNTIF('Atomic Steps'!$D$6:$D$248,A6)</x:f>
        <x:v>40</x:v>
      </x:c>
      <x:c r="L6" s="10" t="n">
        <x:f>COUNTIFS('Atomic Steps'!$D$6:$D$248,A6,'Atomic Steps'!$N$6:$N$248,"done")</x:f>
        <x:v>0</x:v>
      </x:c>
      <x:c r="M6" s="38" t="n">
        <x:f>IF(K6=0,0,L6/K6)</x:f>
        <x:v>0</x:v>
      </x:c>
      <x:c r="N6" s="10" t="str">
        <x:f>IF(COUNTIFS('Gate Criteria'!$A$6:$A$67,F6,'Gate Criteria'!$G$6:$G$67,"fail")&gt;0,"failed",IF(COUNTIFS('Gate Criteria'!$A$6:$A$67,F6,'Gate Criteria'!$G$6:$G$67,"blocked")&gt;0,"blocked",IF(COUNTIFS('Gate Criteria'!$A$6:$A$67,F6,'Gate Criteria'!$G$6:$G$67,"pass")+COUNTIFS('Gate Criteria'!$A$6:$A$67,F6,'Gate Criteria'!$G$6:$G$67,"not_applicable")=COUNTIF('Gate Criteria'!$A$6:$A$67,F6),"passed",IF(COUNTIFS('Gate Criteria'!$A$6:$A$67,F6,'Gate Criteria'!$G$6:$G$67,"pass")&gt;0,"in_progress","not_evaluated"))))</x:f>
        <x:v>not_evaluated</x:v>
      </x:c>
      <x:c r="O6" s="10" t="str">
        <x:f>IF(N6="passed","complete",IF(OR(N6="failed",N6="blocked"),"blocked",IF(COUNTIFS('Atomic Steps'!$D$6:$D$248,A6,'Atomic Steps'!$N$6:$N$248,"in_progress")+COUNTIFS('Atomic Steps'!$D$6:$D$248,A6,'Atomic Steps'!$N$6:$N$248,"verification_pending")&gt;0,"in_progress","not_started")))</x:f>
        <x:v>not_started</x:v>
      </x:c>
    </x:row>
    <x:row r="7">
      <x:c r="A7" s="34" t="str">
        <x:v>P1</x:v>
      </x:c>
      <x:c r="B7" s="34" t="n">
        <x:v>1</x:v>
      </x:c>
      <x:c r="C7" s="34" t="str">
        <x:v>Tracking online</x:v>
      </x:c>
      <x:c r="D7" s="34" t="str">
        <x:v>Deliver reliable headless tracking, prove uncertain API behavior, and begin physical fabrication.</x:v>
      </x:c>
      <x:c r="E7" s="34" t="str">
        <x:v>G0 passed and tracking hardware available</x:v>
      </x:c>
      <x:c r="F7" s="34" t="str">
        <x:v>G1</x:v>
      </x:c>
      <x:c r="G7" s="34" t="str">
        <x:v>G0</x:v>
      </x:c>
      <x:c r="H7" s="34" t="n">
        <x:v>5</x:v>
      </x:c>
      <x:c r="I7" s="34" t="n">
        <x:v>8</x:v>
      </x:c>
      <x:c r="J7" s="34" t="str">
        <x:v>yes</x:v>
      </x:c>
      <x:c r="K7" s="34" t="n">
        <x:f>COUNTIF('Atomic Steps'!$D$6:$D$248,A7)</x:f>
        <x:v>37</x:v>
      </x:c>
      <x:c r="L7" s="34" t="n">
        <x:f>COUNTIFS('Atomic Steps'!$D$6:$D$248,A7,'Atomic Steps'!$N$6:$N$248,"done")</x:f>
        <x:v>0</x:v>
      </x:c>
      <x:c r="M7" s="39" t="n">
        <x:f>IF(K7=0,0,L7/K7)</x:f>
        <x:v>0</x:v>
      </x:c>
      <x:c r="N7" s="34" t="str">
        <x:f>IF(COUNTIFS('Gate Criteria'!$A$6:$A$67,F7,'Gate Criteria'!$G$6:$G$67,"fail")&gt;0,"failed",IF(COUNTIFS('Gate Criteria'!$A$6:$A$67,F7,'Gate Criteria'!$G$6:$G$67,"blocked")&gt;0,"blocked",IF(COUNTIFS('Gate Criteria'!$A$6:$A$67,F7,'Gate Criteria'!$G$6:$G$67,"pass")+COUNTIFS('Gate Criteria'!$A$6:$A$67,F7,'Gate Criteria'!$G$6:$G$67,"not_applicable")=COUNTIF('Gate Criteria'!$A$6:$A$67,F7),"passed",IF(COUNTIFS('Gate Criteria'!$A$6:$A$67,F7,'Gate Criteria'!$G$6:$G$67,"pass")&gt;0,"in_progress","not_evaluated"))))</x:f>
        <x:v>not_evaluated</x:v>
      </x:c>
      <x:c r="O7" s="34" t="str">
        <x:f>IF(N7="passed","complete",IF(OR(N7="failed",N7="blocked"),"blocked",IF(COUNTIFS('Atomic Steps'!$D$6:$D$248,A7,'Atomic Steps'!$N$6:$N$248,"in_progress")+COUNTIFS('Atomic Steps'!$D$6:$D$248,A7,'Atomic Steps'!$N$6:$N$248,"verification_pending")&gt;0,"in_progress","not_started")))</x:f>
        <x:v>not_started</x:v>
      </x:c>
    </x:row>
    <x:row r="8">
      <x:c r="A8" s="10" t="str">
        <x:v>P2</x:v>
      </x:c>
      <x:c r="B8" s="10" t="n">
        <x:v>2</x:v>
      </x:c>
      <x:c r="C8" s="10" t="str">
        <x:v>Core services</x:v>
      </x:c>
      <x:c r="D8" s="10" t="str">
        <x:v>Build the tested nonvisual backbone: configuration, clock, tracking, geometry, logging, events, ingest, and synthetic tracking.</x:v>
      </x:c>
      <x:c r="E8" s="10" t="str">
        <x:v>G1 passed, or G0 with synthetic tracking</x:v>
      </x:c>
      <x:c r="F8" s="10" t="str">
        <x:v>G2</x:v>
      </x:c>
      <x:c r="G8" s="10" t="str">
        <x:v>G1 or (G0 and P2.9)</x:v>
      </x:c>
      <x:c r="H8" s="10" t="n">
        <x:v>8</x:v>
      </x:c>
      <x:c r="I8" s="10" t="n">
        <x:v>12</x:v>
      </x:c>
      <x:c r="J8" s="10" t="str">
        <x:v>yes</x:v>
      </x:c>
      <x:c r="K8" s="10" t="n">
        <x:f>COUNTIF('Atomic Steps'!$D$6:$D$248,A8)</x:f>
        <x:v>30</x:v>
      </x:c>
      <x:c r="L8" s="10" t="n">
        <x:f>COUNTIFS('Atomic Steps'!$D$6:$D$248,A8,'Atomic Steps'!$N$6:$N$248,"done")</x:f>
        <x:v>0</x:v>
      </x:c>
      <x:c r="M8" s="38" t="n">
        <x:f>IF(K8=0,0,L8/K8)</x:f>
        <x:v>0</x:v>
      </x:c>
      <x:c r="N8" s="10" t="str">
        <x:f>IF(COUNTIFS('Gate Criteria'!$A$6:$A$67,F8,'Gate Criteria'!$G$6:$G$67,"fail")&gt;0,"failed",IF(COUNTIFS('Gate Criteria'!$A$6:$A$67,F8,'Gate Criteria'!$G$6:$G$67,"blocked")&gt;0,"blocked",IF(COUNTIFS('Gate Criteria'!$A$6:$A$67,F8,'Gate Criteria'!$G$6:$G$67,"pass")+COUNTIFS('Gate Criteria'!$A$6:$A$67,F8,'Gate Criteria'!$G$6:$G$67,"not_applicable")=COUNTIF('Gate Criteria'!$A$6:$A$67,F8),"passed",IF(COUNTIFS('Gate Criteria'!$A$6:$A$67,F8,'Gate Criteria'!$G$6:$G$67,"pass")&gt;0,"in_progress","not_evaluated"))))</x:f>
        <x:v>not_evaluated</x:v>
      </x:c>
      <x:c r="O8" s="10" t="str">
        <x:f>IF(N8="passed","complete",IF(OR(N8="failed",N8="blocked"),"blocked",IF(COUNTIFS('Atomic Steps'!$D$6:$D$248,A8,'Atomic Steps'!$N$6:$N$248,"in_progress")+COUNTIFS('Atomic Steps'!$D$6:$D$248,A8,'Atomic Steps'!$N$6:$N$248,"verification_pending")&gt;0,"in_progress","not_started")))</x:f>
        <x:v>not_started</x:v>
      </x:c>
    </x:row>
    <x:row r="9">
      <x:c r="A9" s="34" t="str">
        <x:v>P3</x:v>
      </x:c>
      <x:c r="B9" s="34" t="n">
        <x:v>3</x:v>
      </x:c>
      <x:c r="C9" s="34" t="str">
        <x:v>Rendering</x:v>
      </x:c>
      <x:c r="D9" s="34" t="str">
        <x:v>Deliver correct participant and operator render paths, display management, performance evidence, and replay.</x:v>
      </x:c>
      <x:c r="E9" s="34" t="str">
        <x:v>G2 passed, P1.14 complete, any display available</x:v>
      </x:c>
      <x:c r="F9" s="34" t="str">
        <x:v>G3</x:v>
      </x:c>
      <x:c r="G9" s="34" t="str">
        <x:v>G2, P1.14</x:v>
      </x:c>
      <x:c r="H9" s="34" t="n">
        <x:v>6</x:v>
      </x:c>
      <x:c r="I9" s="34" t="n">
        <x:v>10</x:v>
      </x:c>
      <x:c r="J9" s="34" t="str">
        <x:v>yes</x:v>
      </x:c>
      <x:c r="K9" s="34" t="n">
        <x:f>COUNTIF('Atomic Steps'!$D$6:$D$248,A9)</x:f>
        <x:v>19</x:v>
      </x:c>
      <x:c r="L9" s="34" t="n">
        <x:f>COUNTIFS('Atomic Steps'!$D$6:$D$248,A9,'Atomic Steps'!$N$6:$N$248,"done")</x:f>
        <x:v>0</x:v>
      </x:c>
      <x:c r="M9" s="39" t="n">
        <x:f>IF(K9=0,0,L9/K9)</x:f>
        <x:v>0</x:v>
      </x:c>
      <x:c r="N9" s="34" t="str">
        <x:f>IF(COUNTIFS('Gate Criteria'!$A$6:$A$67,F9,'Gate Criteria'!$G$6:$G$67,"fail")&gt;0,"failed",IF(COUNTIFS('Gate Criteria'!$A$6:$A$67,F9,'Gate Criteria'!$G$6:$G$67,"blocked")&gt;0,"blocked",IF(COUNTIFS('Gate Criteria'!$A$6:$A$67,F9,'Gate Criteria'!$G$6:$G$67,"pass")+COUNTIFS('Gate Criteria'!$A$6:$A$67,F9,'Gate Criteria'!$G$6:$G$67,"not_applicable")=COUNTIF('Gate Criteria'!$A$6:$A$67,F9),"passed",IF(COUNTIFS('Gate Criteria'!$A$6:$A$67,F9,'Gate Criteria'!$G$6:$G$67,"pass")&gt;0,"in_progress","not_evaluated"))))</x:f>
        <x:v>not_evaluated</x:v>
      </x:c>
      <x:c r="O9" s="34" t="str">
        <x:f>IF(N9="passed","complete",IF(OR(N9="failed",N9="blocked"),"blocked",IF(COUNTIFS('Atomic Steps'!$D$6:$D$248,A9,'Atomic Steps'!$N$6:$N$248,"in_progress")+COUNTIFS('Atomic Steps'!$D$6:$D$248,A9,'Atomic Steps'!$N$6:$N$248,"verification_pending")&gt;0,"in_progress","not_started")))</x:f>
        <x:v>not_started</x:v>
      </x:c>
    </x:row>
    <x:row r="10">
      <x:c r="A10" s="10" t="str">
        <x:v>P4</x:v>
      </x:c>
      <x:c r="B10" s="10" t="n">
        <x:v>4</x:v>
      </x:c>
      <x:c r="C10" s="10" t="str">
        <x:v>Scenario and session</x:v>
      </x:c>
      <x:c r="D10" s="10" t="str">
        <x:v>Run a complete operator-driven dry session using data-driven targets, scoring, feedback, blocks, and self-checks.</x:v>
      </x:c>
      <x:c r="E10" s="10" t="str">
        <x:v>G3 passed</x:v>
      </x:c>
      <x:c r="F10" s="10" t="str">
        <x:v>G4</x:v>
      </x:c>
      <x:c r="G10" s="10" t="str">
        <x:v>G3</x:v>
      </x:c>
      <x:c r="H10" s="10" t="n">
        <x:v>10</x:v>
      </x:c>
      <x:c r="I10" s="10" t="n">
        <x:v>15</x:v>
      </x:c>
      <x:c r="J10" s="10" t="str">
        <x:v>yes</x:v>
      </x:c>
      <x:c r="K10" s="10" t="n">
        <x:f>COUNTIF('Atomic Steps'!$D$6:$D$248,A10)</x:f>
        <x:v>33</x:v>
      </x:c>
      <x:c r="L10" s="10" t="n">
        <x:f>COUNTIFS('Atomic Steps'!$D$6:$D$248,A10,'Atomic Steps'!$N$6:$N$248,"done")</x:f>
        <x:v>0</x:v>
      </x:c>
      <x:c r="M10" s="38" t="n">
        <x:f>IF(K10=0,0,L10/K10)</x:f>
        <x:v>0</x:v>
      </x:c>
      <x:c r="N10" s="10" t="str">
        <x:f>IF(COUNTIFS('Gate Criteria'!$A$6:$A$67,F10,'Gate Criteria'!$G$6:$G$67,"fail")&gt;0,"failed",IF(COUNTIFS('Gate Criteria'!$A$6:$A$67,F10,'Gate Criteria'!$G$6:$G$67,"blocked")&gt;0,"blocked",IF(COUNTIFS('Gate Criteria'!$A$6:$A$67,F10,'Gate Criteria'!$G$6:$G$67,"pass")+COUNTIFS('Gate Criteria'!$A$6:$A$67,F10,'Gate Criteria'!$G$6:$G$67,"not_applicable")=COUNTIF('Gate Criteria'!$A$6:$A$67,F10),"passed",IF(COUNTIFS('Gate Criteria'!$A$6:$A$67,F10,'Gate Criteria'!$G$6:$G$67,"pass")&gt;0,"in_progress","not_evaluated"))))</x:f>
        <x:v>not_evaluated</x:v>
      </x:c>
      <x:c r="O10" s="10" t="str">
        <x:f>IF(N10="passed","complete",IF(OR(N10="failed",N10="blocked"),"blocked",IF(COUNTIFS('Atomic Steps'!$D$6:$D$248,A10,'Atomic Steps'!$N$6:$N$248,"in_progress")+COUNTIFS('Atomic Steps'!$D$6:$D$248,A10,'Atomic Steps'!$N$6:$N$248,"verification_pending")&gt;0,"in_progress","not_started")))</x:f>
        <x:v>not_started</x:v>
      </x:c>
    </x:row>
    <x:row r="11">
      <x:c r="A11" s="34" t="str">
        <x:v>P5</x:v>
      </x:c>
      <x:c r="B11" s="34" t="n">
        <x:v>5</x:v>
      </x:c>
      <x:c r="C11" s="34" t="str">
        <x:v>Calibration</x:v>
      </x:c>
      <x:c r="D11" s="34" t="str">
        <x:v>Integrate the weapon and complete rig and participant calibration workflows with recorded residuals.</x:v>
      </x:c>
      <x:c r="E11" s="34" t="str">
        <x:v>G4 passed, mock weapon and pivot probe complete</x:v>
      </x:c>
      <x:c r="F11" s="34" t="str">
        <x:v>G5</x:v>
      </x:c>
      <x:c r="G11" s="34" t="str">
        <x:v>G4, P1.13, P5.1 prerequisites</x:v>
      </x:c>
      <x:c r="H11" s="34" t="n">
        <x:v>8</x:v>
      </x:c>
      <x:c r="I11" s="34" t="n">
        <x:v>12</x:v>
      </x:c>
      <x:c r="J11" s="34" t="str">
        <x:v>yes</x:v>
      </x:c>
      <x:c r="K11" s="34" t="n">
        <x:f>COUNTIF('Atomic Steps'!$D$6:$D$248,A11)</x:f>
        <x:v>20</x:v>
      </x:c>
      <x:c r="L11" s="34" t="n">
        <x:f>COUNTIFS('Atomic Steps'!$D$6:$D$248,A11,'Atomic Steps'!$N$6:$N$248,"done")</x:f>
        <x:v>0</x:v>
      </x:c>
      <x:c r="M11" s="39" t="n">
        <x:f>IF(K11=0,0,L11/K11)</x:f>
        <x:v>0</x:v>
      </x:c>
      <x:c r="N11" s="34" t="str">
        <x:f>IF(COUNTIFS('Gate Criteria'!$A$6:$A$67,F11,'Gate Criteria'!$G$6:$G$67,"fail")&gt;0,"failed",IF(COUNTIFS('Gate Criteria'!$A$6:$A$67,F11,'Gate Criteria'!$G$6:$G$67,"blocked")&gt;0,"blocked",IF(COUNTIFS('Gate Criteria'!$A$6:$A$67,F11,'Gate Criteria'!$G$6:$G$67,"pass")+COUNTIFS('Gate Criteria'!$A$6:$A$67,F11,'Gate Criteria'!$G$6:$G$67,"not_applicable")=COUNTIF('Gate Criteria'!$A$6:$A$67,F11),"passed",IF(COUNTIFS('Gate Criteria'!$A$6:$A$67,F11,'Gate Criteria'!$G$6:$G$67,"pass")&gt;0,"in_progress","not_evaluated"))))</x:f>
        <x:v>not_evaluated</x:v>
      </x:c>
      <x:c r="O11" s="34" t="str">
        <x:f>IF(N11="passed","complete",IF(OR(N11="failed",N11="blocked"),"blocked",IF(COUNTIFS('Atomic Steps'!$D$6:$D$248,A11,'Atomic Steps'!$N$6:$N$248,"in_progress")+COUNTIFS('Atomic Steps'!$D$6:$D$248,A11,'Atomic Steps'!$N$6:$N$248,"verification_pending")&gt;0,"in_progress","not_started")))</x:f>
        <x:v>not_started</x:v>
      </x:c>
    </x:row>
    <x:row r="12">
      <x:c r="A12" s="10" t="str">
        <x:v>P6</x:v>
      </x:c>
      <x:c r="B12" s="10" t="n">
        <x:v>6</x:v>
      </x:c>
      <x:c r="C12" s="10" t="str">
        <x:v>ELTS integration</x:v>
      </x:c>
      <x:c r="D12" s="10" t="str">
        <x:v>Integrate Unity and Jetson lifecycle control with timestamps, heartbeat, acknowledgements, and independent fail-safes.</x:v>
      </x:c>
      <x:c r="E12" s="10" t="str">
        <x:v>G4 passed, D-03 and D-10 decided, ELTS owner available</x:v>
      </x:c>
      <x:c r="F12" s="10" t="str">
        <x:v>G6</x:v>
      </x:c>
      <x:c r="G12" s="10" t="str">
        <x:v>G4, D-03, D-10</x:v>
      </x:c>
      <x:c r="H12" s="10" t="n">
        <x:v>8</x:v>
      </x:c>
      <x:c r="I12" s="10" t="n">
        <x:v>13</x:v>
      </x:c>
      <x:c r="J12" s="10" t="str">
        <x:v>no</x:v>
      </x:c>
      <x:c r="K12" s="10" t="n">
        <x:f>COUNTIF('Atomic Steps'!$D$6:$D$248,A12)</x:f>
        <x:v>30</x:v>
      </x:c>
      <x:c r="L12" s="10" t="n">
        <x:f>COUNTIFS('Atomic Steps'!$D$6:$D$248,A12,'Atomic Steps'!$N$6:$N$248,"done")</x:f>
        <x:v>0</x:v>
      </x:c>
      <x:c r="M12" s="38" t="n">
        <x:f>IF(K12=0,0,L12/K12)</x:f>
        <x:v>0</x:v>
      </x:c>
      <x:c r="N12" s="10" t="str">
        <x:f>IF(COUNTIFS('Gate Criteria'!$A$6:$A$67,F12,'Gate Criteria'!$G$6:$G$67,"fail")&gt;0,"failed",IF(COUNTIFS('Gate Criteria'!$A$6:$A$67,F12,'Gate Criteria'!$G$6:$G$67,"blocked")&gt;0,"blocked",IF(COUNTIFS('Gate Criteria'!$A$6:$A$67,F12,'Gate Criteria'!$G$6:$G$67,"pass")+COUNTIFS('Gate Criteria'!$A$6:$A$67,F12,'Gate Criteria'!$G$6:$G$67,"not_applicable")=COUNTIF('Gate Criteria'!$A$6:$A$67,F12),"passed",IF(COUNTIFS('Gate Criteria'!$A$6:$A$67,F12,'Gate Criteria'!$G$6:$G$67,"pass")&gt;0,"in_progress","not_evaluated"))))</x:f>
        <x:v>not_evaluated</x:v>
      </x:c>
      <x:c r="O12" s="10" t="str">
        <x:f>IF(N12="passed","complete",IF(OR(N12="failed",N12="blocked"),"blocked",IF(COUNTIFS('Atomic Steps'!$D$6:$D$248,A12,'Atomic Steps'!$N$6:$N$248,"in_progress")+COUNTIFS('Atomic Steps'!$D$6:$D$248,A12,'Atomic Steps'!$N$6:$N$248,"verification_pending")&gt;0,"in_progress","not_started")))</x:f>
        <x:v>not_started</x:v>
      </x:c>
    </x:row>
    <x:row r="13">
      <x:c r="A13" s="34" t="str">
        <x:v>P7</x:v>
      </x:c>
      <x:c r="B13" s="34" t="n">
        <x:v>7</x:v>
      </x:c>
      <x:c r="C13" s="34" t="str">
        <x:v>Bench validation and safety</x:v>
      </x:c>
      <x:c r="D13" s="34" t="str">
        <x:v>Measure the apparatus risks, complete safety evidence, and freeze rig-derived thresholds.</x:v>
      </x:c>
      <x:c r="E13" s="34" t="str">
        <x:v>G5 and G6 passed, D-01 and D-02 implemented</x:v>
      </x:c>
      <x:c r="F13" s="34" t="str">
        <x:v>G7</x:v>
      </x:c>
      <x:c r="G13" s="34" t="str">
        <x:v>G5, G6, D-01, D-02</x:v>
      </x:c>
      <x:c r="H13" s="34" t="n">
        <x:v>5</x:v>
      </x:c>
      <x:c r="I13" s="34" t="n">
        <x:v>8</x:v>
      </x:c>
      <x:c r="J13" s="34" t="str">
        <x:v>yes</x:v>
      </x:c>
      <x:c r="K13" s="34" t="n">
        <x:f>COUNTIF('Atomic Steps'!$D$6:$D$248,A13)</x:f>
        <x:v>18</x:v>
      </x:c>
      <x:c r="L13" s="34" t="n">
        <x:f>COUNTIFS('Atomic Steps'!$D$6:$D$248,A13,'Atomic Steps'!$N$6:$N$248,"done")</x:f>
        <x:v>0</x:v>
      </x:c>
      <x:c r="M13" s="39" t="n">
        <x:f>IF(K13=0,0,L13/K13)</x:f>
        <x:v>0</x:v>
      </x:c>
      <x:c r="N13" s="34" t="str">
        <x:f>IF(COUNTIFS('Gate Criteria'!$A$6:$A$67,F13,'Gate Criteria'!$G$6:$G$67,"fail")&gt;0,"failed",IF(COUNTIFS('Gate Criteria'!$A$6:$A$67,F13,'Gate Criteria'!$G$6:$G$67,"blocked")&gt;0,"blocked",IF(COUNTIFS('Gate Criteria'!$A$6:$A$67,F13,'Gate Criteria'!$G$6:$G$67,"pass")+COUNTIFS('Gate Criteria'!$A$6:$A$67,F13,'Gate Criteria'!$G$6:$G$67,"not_applicable")=COUNTIF('Gate Criteria'!$A$6:$A$67,F13),"passed",IF(COUNTIFS('Gate Criteria'!$A$6:$A$67,F13,'Gate Criteria'!$G$6:$G$67,"pass")&gt;0,"in_progress","not_evaluated"))))</x:f>
        <x:v>not_evaluated</x:v>
      </x:c>
      <x:c r="O13" s="34" t="str">
        <x:f>IF(N13="passed","complete",IF(OR(N13="failed",N13="blocked"),"blocked",IF(COUNTIFS('Atomic Steps'!$D$6:$D$248,A13,'Atomic Steps'!$N$6:$N$248,"in_progress")+COUNTIFS('Atomic Steps'!$D$6:$D$248,A13,'Atomic Steps'!$N$6:$N$248,"verification_pending")&gt;0,"in_progress","not_started")))</x:f>
        <x:v>not_started</x:v>
      </x:c>
    </x:row>
    <x:row r="14">
      <x:c r="A14" s="33" t="str">
        <x:v>P8</x:v>
      </x:c>
      <x:c r="B14" s="33" t="n">
        <x:v>8</x:v>
      </x:c>
      <x:c r="C14" s="33" t="str">
        <x:v>Pilot and freeze</x:v>
      </x:c>
      <x:c r="D14" s="33" t="str">
        <x:v>Prove operator independence, cross-device alignment, analysis, backup, release packaging, and readiness for Participant 1.</x:v>
      </x:c>
      <x:c r="E14" s="33" t="str">
        <x:v>G7 passed and all decisions closed except D-15</x:v>
      </x:c>
      <x:c r="F14" s="33" t="str">
        <x:v>G8</x:v>
      </x:c>
      <x:c r="G14" s="33" t="str">
        <x:v>G7, D-01:D-18 except D-15</x:v>
      </x:c>
      <x:c r="H14" s="33" t="n">
        <x:v>5</x:v>
      </x:c>
      <x:c r="I14" s="33" t="n">
        <x:v>10</x:v>
      </x:c>
      <x:c r="J14" s="33" t="str">
        <x:v>yes</x:v>
      </x:c>
      <x:c r="K14" s="33" t="n">
        <x:f>COUNTIF('Atomic Steps'!$D$6:$D$248,A14)</x:f>
        <x:v>16</x:v>
      </x:c>
      <x:c r="L14" s="33" t="n">
        <x:f>COUNTIFS('Atomic Steps'!$D$6:$D$248,A14,'Atomic Steps'!$N$6:$N$248,"done")</x:f>
        <x:v>0</x:v>
      </x:c>
      <x:c r="M14" s="40" t="n">
        <x:f>IF(K14=0,0,L14/K14)</x:f>
        <x:v>0</x:v>
      </x:c>
      <x:c r="N14" s="33" t="str">
        <x:f>IF(COUNTIFS('Gate Criteria'!$A$6:$A$67,F14,'Gate Criteria'!$G$6:$G$67,"fail")&gt;0,"failed",IF(COUNTIFS('Gate Criteria'!$A$6:$A$67,F14,'Gate Criteria'!$G$6:$G$67,"blocked")&gt;0,"blocked",IF(COUNTIFS('Gate Criteria'!$A$6:$A$67,F14,'Gate Criteria'!$G$6:$G$67,"pass")+COUNTIFS('Gate Criteria'!$A$6:$A$67,F14,'Gate Criteria'!$G$6:$G$67,"not_applicable")=COUNTIF('Gate Criteria'!$A$6:$A$67,F14),"passed",IF(COUNTIFS('Gate Criteria'!$A$6:$A$67,F14,'Gate Criteria'!$G$6:$G$67,"pass")&gt;0,"in_progress","not_evaluated"))))</x:f>
        <x:v>not_evaluated</x:v>
      </x:c>
      <x:c r="O14" s="33" t="str">
        <x:f>IF(N14="passed","complete",IF(OR(N14="failed",N14="blocked"),"blocked",IF(COUNTIFS('Atomic Steps'!$D$6:$D$248,A14,'Atomic Steps'!$N$6:$N$248,"in_progress")+COUNTIFS('Atomic Steps'!$D$6:$D$248,A14,'Atomic Steps'!$N$6:$N$248,"verification_pending")&gt;0,"in_progress","not_started")))</x:f>
        <x:v>not_started</x:v>
      </x:c>
    </x:row>
  </x:sheetData>
  <x:mergeCells>
    <x:mergeCell ref="A1:O1"/>
    <x:mergeCell ref="A2:O2"/>
  </x:mergeCells>
  <x:conditionalFormatting sqref="N6:O14">
    <x:cfRule type="containsText" dxfId="28" priority="1" operator="containsText" text="done"/>
    <x:cfRule type="containsText" dxfId="29" priority="2" operator="containsText" text="passed"/>
    <x:cfRule type="containsText" dxfId="30" priority="3" operator="containsText" text="in_progress"/>
    <x:cfRule type="containsText" dxfId="31" priority="4" operator="containsText" text="verification_pending"/>
    <x:cfRule type="containsText" dxfId="32" priority="5" operator="containsText" text="ready"/>
    <x:cfRule type="containsText" dxfId="33" priority="6" operator="containsText" text="blocked"/>
    <x:cfRule type="containsText" dxfId="34" priority="7" operator="containsText" text="fail"/>
  </x:conditionalFormatting>
  <x:dataValidations count="1">
    <x:dataValidation type="list" sqref="J6:J14">
      <x:formula1>"yes,no"</x:formula1>
    </x:dataValidation>
  </x:dataValidations>
  <x:pageMargins left="0.7" right="0.7" top="0.75" bottom="0.75" header="0.3" footer="0.3"/>
  <x:tableParts count="1">
    <x:tablePart xmlns:r="http://schemas.openxmlformats.org/officeDocument/2006/relationships" r:id="Rcfbbea60b5e44b4a"/>
  </x:tableParts>
</x:worksheet>
</file>

<file path=xl/worksheets/sheet4.xml><?xml version="1.0" encoding="utf-8"?>
<x:worksheet xmlns:x="http://schemas.openxmlformats.org/spreadsheetml/2006/main">
  <x:sheetPr>
    <x:tabColor rgb="FF70AD47"/>
  </x:sheetPr>
  <x:sheetViews>
    <x:sheetView showGridLines="0" workbookViewId="0">
      <x:pane xSplit="2" ySplit="5" topLeftCell="C6" activePane="bottomRight" state="frozen"/>
    </x:sheetView>
  </x:sheetViews>
  <x:sheetFormatPr defaultRowHeight="15"/>
  <x:cols>
    <x:col min="1" max="1" width="9" hidden="0" customWidth="1"/>
    <x:col min="2" max="2" width="13" hidden="0" customWidth="1"/>
    <x:col min="3" max="3" width="8" hidden="0" customWidth="1"/>
    <x:col min="4" max="4" width="22" hidden="0" customWidth="1"/>
    <x:col min="5" max="5" width="8" hidden="0" customWidth="1"/>
    <x:col min="6" max="6" width="14" hidden="0" customWidth="1"/>
    <x:col min="7" max="7" width="30" hidden="0" customWidth="1"/>
    <x:col min="8" max="8" width="65" hidden="0" customWidth="1"/>
    <x:col min="9" max="9" width="36" hidden="0" customWidth="1"/>
    <x:col min="10" max="10" width="28" hidden="0" customWidth="1"/>
    <x:col min="11" max="11" width="20" hidden="0" customWidth="1"/>
    <x:col min="12" max="12" width="44" hidden="0" customWidth="1"/>
    <x:col min="13" max="13" width="42" hidden="0" customWidth="1"/>
    <x:col min="14" max="14" width="38" hidden="0" customWidth="1"/>
    <x:col min="15" max="15" width="24" hidden="0" customWidth="1"/>
    <x:col min="16" max="16" width="16" hidden="0" customWidth="1"/>
    <x:col min="17" max="17" width="25" hidden="0" customWidth="1"/>
    <x:col min="18" max="18" width="15" hidden="0" customWidth="1"/>
    <x:col min="19" max="19" width="15" hidden="0" customWidth="1"/>
    <x:col min="20" max="20" width="28" hidden="0" customWidth="1"/>
    <x:col min="21" max="21" width="30" hidden="0" customWidth="1"/>
    <x:col min="22" max="22" width="30" hidden="0" customWidth="1"/>
    <x:col min="23" max="23" width="22" hidden="0" customWidth="1"/>
  </x:cols>
  <x:sheetData>
    <x:row r="1" ht="28" customHeight="1">
      <x:c r="A1" s="1" t="str">
        <x:v>ELTS work items</x:v>
      </x:c>
    </x:row>
    <x:row r="2">
      <x:c r="A2" s="2" t="str">
        <x:v>All 91 P0-P8 work items from the build plan. Status is a planning aid; generated repository state is authoritative.</x:v>
      </x:c>
    </x:row>
    <x:row r="3">
      <x:c r="A3" s="3"/>
      <x:c r="B3" s="3"/>
      <x:c r="C3" s="3"/>
      <x:c r="D3" s="3"/>
      <x:c r="E3" s="3"/>
      <x:c r="F3" s="3"/>
      <x:c r="G3" s="3"/>
      <x:c r="H3" s="3"/>
      <x:c r="I3" s="3"/>
      <x:c r="J3" s="3"/>
      <x:c r="K3" s="3"/>
      <x:c r="L3" s="3"/>
      <x:c r="M3" s="3"/>
      <x:c r="N3" s="3"/>
      <x:c r="O3" s="3"/>
      <x:c r="P3" s="3"/>
      <x:c r="Q3" s="3"/>
      <x:c r="R3" s="3"/>
      <x:c r="S3" s="3"/>
      <x:c r="T3" s="3"/>
      <x:c r="U3" s="3"/>
      <x:c r="V3" s="3"/>
      <x:c r="W3" s="3"/>
    </x:row>
    <x:row r="5" ht="32" customHeight="1">
      <x:c r="A5" s="31" t="str">
        <x:v>Sequence</x:v>
      </x:c>
      <x:c r="B5" s="31" t="str">
        <x:v>Work Item ID</x:v>
      </x:c>
      <x:c r="C5" s="31" t="str">
        <x:v>Phase</x:v>
      </x:c>
      <x:c r="D5" s="31" t="str">
        <x:v>Phase Name</x:v>
      </x:c>
      <x:c r="E5" s="31" t="str">
        <x:v>Gate</x:v>
      </x:c>
      <x:c r="F5" s="31" t="str">
        <x:v>Workstream</x:v>
      </x:c>
      <x:c r="G5" s="31" t="str">
        <x:v>Title</x:v>
      </x:c>
      <x:c r="H5" s="31" t="str">
        <x:v>Action and substeps</x:v>
      </x:c>
      <x:c r="I5" s="31" t="str">
        <x:v>Entry Criteria</x:v>
      </x:c>
      <x:c r="J5" s="31" t="str">
        <x:v>Direct Dependencies</x:v>
      </x:c>
      <x:c r="K5" s="31" t="str">
        <x:v>Blocking Decisions</x:v>
      </x:c>
      <x:c r="L5" s="31" t="str">
        <x:v>Completion Evidence</x:v>
      </x:c>
      <x:c r="M5" s="31" t="str">
        <x:v>Validation</x:v>
      </x:c>
      <x:c r="N5" s="31" t="str">
        <x:v>Expected Artifacts</x:v>
      </x:c>
      <x:c r="O5" s="31" t="str">
        <x:v>Owner Role</x:v>
      </x:c>
      <x:c r="P5" s="31" t="str">
        <x:v>Execution Class</x:v>
      </x:c>
      <x:c r="Q5" s="31" t="str">
        <x:v>Parallel Lane</x:v>
      </x:c>
      <x:c r="R5" s="31" t="str">
        <x:v>Initial Status</x:v>
      </x:c>
      <x:c r="S5" s="31" t="str">
        <x:v>Live Status</x:v>
      </x:c>
      <x:c r="T5" s="31" t="str">
        <x:v>Branch or PR</x:v>
      </x:c>
      <x:c r="U5" s="31" t="str">
        <x:v>Evidence Path or URL</x:v>
      </x:c>
      <x:c r="V5" s="31" t="str">
        <x:v>Notes</x:v>
      </x:c>
      <x:c r="W5" s="31" t="str">
        <x:v>Source</x:v>
      </x:c>
    </x:row>
    <x:row r="6">
      <x:c r="A6" s="10" t="n">
        <x:v>1</x:v>
      </x:c>
      <x:c r="B6" s="10" t="str">
        <x:v>P0.1</x:v>
      </x:c>
      <x:c r="C6" s="10" t="str">
        <x:v>P0</x:v>
      </x:c>
      <x:c r="D6" s="10" t="str">
        <x:v>Foundations</x:v>
      </x:c>
      <x:c r="E6" s="10" t="str">
        <x:v>G0</x:v>
      </x:c>
      <x:c r="F6" s="10" t="str">
        <x:v>WS-A, WS-F</x:v>
      </x:c>
      <x:c r="G6" s="10" t="str">
        <x:v>Hardware inventory and procurement</x:v>
      </x:c>
      <x:c r="H6" s="10" t="str">
        <x:v>Produce a single bill of materials with in-hand / ordered / needed status for every item in Appendix H. Order anything missing on day 1; lead times gate Phase 1. Items most likely to be missing: Base Station 2.0, 2× Vive Tracker 3.0, tracker pogo-pin breakout (or pogo pins for a DIY breakout), headband mount hardware, ¼-20 hardware, a laser bore-sighter for the daily accuracy check, a luminance or lux meter (D-11), the second operator monitor, mounting hardware for the base station.</x:v>
      </x:c>
      <x:c r="I6" s="10" t="str">
        <x:v>Project start</x:v>
      </x:c>
      <x:c r="J6" s="10" t="str"/>
      <x:c r="K6" s="10" t="str">
        <x:v>D-11</x:v>
      </x:c>
      <x:c r="L6" s="10" t="str">
        <x:v>BOM exists, every item has a status, orders placed.</x:v>
      </x:c>
      <x:c r="M6" s="10" t="str">
        <x:v>BOM exists, every item has a status, orders placed.</x:v>
      </x:c>
      <x:c r="N6" s="10" t="str">
        <x:v>docs/procurement/BOM.md</x:v>
      </x:c>
      <x:c r="O6" s="10" t="str">
        <x:v>Investigator and developer</x:v>
      </x:c>
      <x:c r="P6" s="10" t="str">
        <x:v>mixed</x:v>
      </x:c>
      <x:c r="Q6" s="10" t="str">
        <x:v>Foundation</x:v>
      </x:c>
      <x:c r="R6" s="10" t="str">
        <x:v>not_started</x:v>
      </x:c>
      <x:c r="S6" s="10" t="str">
        <x:f>IF(COUNTIFS('Atomic Steps'!$C$6:$C$248,B6,'Atomic Steps'!$N$6:$N$248,"blocked")&gt;0,"blocked",IF(COUNTIFS('Atomic Steps'!$C$6:$C$248,B6,'Atomic Steps'!$N$6:$N$248,"in_progress")&gt;0,"in_progress",IF(COUNTIFS('Atomic Steps'!$C$6:$C$248,B6,'Atomic Steps'!$N$6:$N$248,"verification_pending")&gt;0,"verification_pending",IF(COUNTIFS('Atomic Steps'!$C$6:$C$248,B6,'Atomic Steps'!$N$6:$N$248,"done")=COUNTIF('Atomic Steps'!$C$6:$C$248,B6),"done",IF(COUNTIFS('Atomic Steps'!$C$6:$C$248,B6,'Atomic Steps'!$N$6:$N$248,"ready")&gt;0,"ready","not_started")))))</x:f>
        <x:v>not_started</x:v>
      </x:c>
      <x:c r="T6" s="10" t="str"/>
      <x:c r="U6" s="10" t="str"/>
      <x:c r="V6" s="10" t="str"/>
      <x:c r="W6" s="10" t="str">
        <x:v>ELTS Build Plan P0.1</x:v>
      </x:c>
    </x:row>
    <x:row r="7">
      <x:c r="A7" s="34" t="n">
        <x:v>2</x:v>
      </x:c>
      <x:c r="B7" s="34" t="str">
        <x:v>P0.2</x:v>
      </x:c>
      <x:c r="C7" s="34" t="str">
        <x:v>P0</x:v>
      </x:c>
      <x:c r="D7" s="34" t="str">
        <x:v>Foundations</x:v>
      </x:c>
      <x:c r="E7" s="34" t="str">
        <x:v>G0</x:v>
      </x:c>
      <x:c r="F7" s="34" t="str">
        <x:v>WS-C, WS-F</x:v>
      </x:c>
      <x:c r="G7" s="34" t="str">
        <x:v>Study PC readiness</x:v>
      </x:c>
      <x:c r="H7" s="34" t="str">
        <x:v>Confirm the PC meets A2. Install Steam and SteamVR. Confirm two video outputs work simultaneously with the display(s) that will be used (even a temporary display for now). Set Windows to a high-performance power plan; disable display sleep. Record GPU driver version.</x:v>
      </x:c>
      <x:c r="I7" s="34" t="str">
        <x:v>Project start</x:v>
      </x:c>
      <x:c r="J7" s="34" t="str"/>
      <x:c r="K7" s="34" t="str"/>
      <x:c r="L7" s="34" t="str">
        <x:v>SteamVR launches; both outputs show a desktop.</x:v>
      </x:c>
      <x:c r="M7" s="34" t="str">
        <x:v>SteamVR launches; both outputs show a desktop.</x:v>
      </x:c>
      <x:c r="N7" s="34" t="str">
        <x:v>docs/environment/study-pc.md</x:v>
      </x:c>
      <x:c r="O7" s="34" t="str">
        <x:v>Developer</x:v>
      </x:c>
      <x:c r="P7" s="34" t="str">
        <x:v>mixed</x:v>
      </x:c>
      <x:c r="Q7" s="34" t="str">
        <x:v>Foundation</x:v>
      </x:c>
      <x:c r="R7" s="34" t="str">
        <x:v>not_started</x:v>
      </x:c>
      <x:c r="S7" s="34" t="str">
        <x:f>IF(COUNTIFS('Atomic Steps'!$C$6:$C$248,B7,'Atomic Steps'!$N$6:$N$248,"blocked")&gt;0,"blocked",IF(COUNTIFS('Atomic Steps'!$C$6:$C$248,B7,'Atomic Steps'!$N$6:$N$248,"in_progress")&gt;0,"in_progress",IF(COUNTIFS('Atomic Steps'!$C$6:$C$248,B7,'Atomic Steps'!$N$6:$N$248,"verification_pending")&gt;0,"verification_pending",IF(COUNTIFS('Atomic Steps'!$C$6:$C$248,B7,'Atomic Steps'!$N$6:$N$248,"done")=COUNTIF('Atomic Steps'!$C$6:$C$248,B7),"done",IF(COUNTIFS('Atomic Steps'!$C$6:$C$248,B7,'Atomic Steps'!$N$6:$N$248,"ready")&gt;0,"ready","not_started")))))</x:f>
        <x:v>not_started</x:v>
      </x:c>
      <x:c r="T7" s="34" t="str"/>
      <x:c r="U7" s="34" t="str"/>
      <x:c r="V7" s="34" t="str"/>
      <x:c r="W7" s="34" t="str">
        <x:v>ELTS Build Plan P0.2</x:v>
      </x:c>
    </x:row>
    <x:row r="8">
      <x:c r="A8" s="10" t="n">
        <x:v>3</x:v>
      </x:c>
      <x:c r="B8" s="10" t="str">
        <x:v>P0.3</x:v>
      </x:c>
      <x:c r="C8" s="10" t="str">
        <x:v>P0</x:v>
      </x:c>
      <x:c r="D8" s="10" t="str">
        <x:v>Foundations</x:v>
      </x:c>
      <x:c r="E8" s="10" t="str">
        <x:v>G0</x:v>
      </x:c>
      <x:c r="F8" s="10" t="str">
        <x:v>WS-C</x:v>
      </x:c>
      <x:c r="G8" s="10" t="str">
        <x:v>Repository and project skeleton</x:v>
      </x:c>
      <x:c r="H8" s="10" t="str">
        <x:v>Create a git repository. Structure per §12.1. Commit a README that links to the briefing and this plan.
Create the Unity project on Unity 6 LTS (pin the exact 6000.x version in the README; everyone uses that version). Universal Render Pipeline. Remove all XR packages; confirm no com.unity.xr. package is installed (§5.2 headless requirement).
Add: OpenVR C# bindings (openvr_api.cs + openvr_api.dll from the ValveSoftware/openvr repository), Newtonsoft JSON (com.unity.nuget.newtonsoft-json), Unity Test Framework.
Set up an EditMode test assembly and a PlayMode test assembly. Add one trivial passing test in each so the pipeline is proven.
Create the build script that produces a Windows standalone build with a version string baked in (§12.6).</x:v>
      </x:c>
      <x:c r="I8" s="10" t="str">
        <x:v>Project start</x:v>
      </x:c>
      <x:c r="J8" s="10" t="str"/>
      <x:c r="K8" s="10" t="str"/>
      <x:c r="L8" s="10" t="str">
        <x:v>clean clone → open in Unity → tests green → standalone build produced.</x:v>
      </x:c>
      <x:c r="M8" s="10" t="str">
        <x:v>clean clone → open in Unity → tests green → standalone build produced.</x:v>
      </x:c>
      <x:c r="N8" s="10" t="str">
        <x:v>repository skeleton and clean-clone evidence</x:v>
      </x:c>
      <x:c r="O8" s="10" t="str">
        <x:v>Developer</x:v>
      </x:c>
      <x:c r="P8" s="10" t="str">
        <x:v>agent</x:v>
      </x:c>
      <x:c r="Q8" s="10" t="str">
        <x:v>Foundation</x:v>
      </x:c>
      <x:c r="R8" s="10" t="str">
        <x:v>not_started</x:v>
      </x:c>
      <x:c r="S8" s="10" t="str">
        <x:f>IF(COUNTIFS('Atomic Steps'!$C$6:$C$248,B8,'Atomic Steps'!$N$6:$N$248,"blocked")&gt;0,"blocked",IF(COUNTIFS('Atomic Steps'!$C$6:$C$248,B8,'Atomic Steps'!$N$6:$N$248,"in_progress")&gt;0,"in_progress",IF(COUNTIFS('Atomic Steps'!$C$6:$C$248,B8,'Atomic Steps'!$N$6:$N$248,"verification_pending")&gt;0,"verification_pending",IF(COUNTIFS('Atomic Steps'!$C$6:$C$248,B8,'Atomic Steps'!$N$6:$N$248,"done")=COUNTIF('Atomic Steps'!$C$6:$C$248,B8),"done",IF(COUNTIFS('Atomic Steps'!$C$6:$C$248,B8,'Atomic Steps'!$N$6:$N$248,"ready")&gt;0,"ready","not_started")))))</x:f>
        <x:v>ready</x:v>
      </x:c>
      <x:c r="T8" s="10" t="str"/>
      <x:c r="U8" s="10" t="str"/>
      <x:c r="V8" s="10" t="str"/>
      <x:c r="W8" s="10" t="str">
        <x:v>ELTS Build Plan P0.3</x:v>
      </x:c>
    </x:row>
    <x:row r="9">
      <x:c r="A9" s="34" t="n">
        <x:v>4</x:v>
      </x:c>
      <x:c r="B9" s="34" t="str">
        <x:v>P0.4</x:v>
      </x:c>
      <x:c r="C9" s="34" t="str">
        <x:v>P0</x:v>
      </x:c>
      <x:c r="D9" s="34" t="str">
        <x:v>Foundations</x:v>
      </x:c>
      <x:c r="E9" s="34" t="str">
        <x:v>G0</x:v>
      </x:c>
      <x:c r="F9" s="34" t="str">
        <x:v>WS-F</x:v>
      </x:c>
      <x:c r="G9" s="34" t="str">
        <x:v>Issue tracker seeded</x:v>
      </x:c>
      <x:c r="H9" s="34" t="str">
        <x:v>Enter every task ID from this plan into whatever tracker the team uses (GitHub Issues is fine), tagged by phase and workstream. Enter every Decision Register item as an issue assigned to its owner with its deadline.</x:v>
      </x:c>
      <x:c r="I9" s="34" t="str">
        <x:v>Project start</x:v>
      </x:c>
      <x:c r="J9" s="34" t="str"/>
      <x:c r="K9" s="34" t="str"/>
      <x:c r="L9" s="34" t="str">
        <x:v>all tasks and decisions are tracked.</x:v>
      </x:c>
      <x:c r="M9" s="34" t="str">
        <x:v>all tasks and decisions are tracked.</x:v>
      </x:c>
      <x:c r="N9" s="34" t="str">
        <x:v>GitHub Issues or approved tracker export</x:v>
      </x:c>
      <x:c r="O9" s="34" t="str">
        <x:v>Developer</x:v>
      </x:c>
      <x:c r="P9" s="34" t="str">
        <x:v>agent</x:v>
      </x:c>
      <x:c r="Q9" s="34" t="str">
        <x:v>Foundation</x:v>
      </x:c>
      <x:c r="R9" s="34" t="str">
        <x:v>not_started</x:v>
      </x:c>
      <x:c r="S9" s="34" t="str">
        <x:f>IF(COUNTIFS('Atomic Steps'!$C$6:$C$248,B9,'Atomic Steps'!$N$6:$N$248,"blocked")&gt;0,"blocked",IF(COUNTIFS('Atomic Steps'!$C$6:$C$248,B9,'Atomic Steps'!$N$6:$N$248,"in_progress")&gt;0,"in_progress",IF(COUNTIFS('Atomic Steps'!$C$6:$C$248,B9,'Atomic Steps'!$N$6:$N$248,"verification_pending")&gt;0,"verification_pending",IF(COUNTIFS('Atomic Steps'!$C$6:$C$248,B9,'Atomic Steps'!$N$6:$N$248,"done")=COUNTIF('Atomic Steps'!$C$6:$C$248,B9),"done",IF(COUNTIFS('Atomic Steps'!$C$6:$C$248,B9,'Atomic Steps'!$N$6:$N$248,"ready")&gt;0,"ready","not_started")))))</x:f>
        <x:v>not_started</x:v>
      </x:c>
      <x:c r="T9" s="34" t="str"/>
      <x:c r="U9" s="34" t="str"/>
      <x:c r="V9" s="34" t="str"/>
      <x:c r="W9" s="34" t="str">
        <x:v>ELTS Build Plan P0.4</x:v>
      </x:c>
    </x:row>
    <x:row r="10">
      <x:c r="A10" s="10" t="n">
        <x:v>5</x:v>
      </x:c>
      <x:c r="B10" s="10" t="str">
        <x:v>P0.5</x:v>
      </x:c>
      <x:c r="C10" s="10" t="str">
        <x:v>P0</x:v>
      </x:c>
      <x:c r="D10" s="10" t="str">
        <x:v>Foundations</x:v>
      </x:c>
      <x:c r="E10" s="10" t="str">
        <x:v>G0</x:v>
      </x:c>
      <x:c r="F10" s="10" t="str">
        <x:v>WS-F</x:v>
      </x:c>
      <x:c r="G10" s="10" t="str">
        <x:v>Decision Register kicked off</x:v>
      </x:c>
      <x:c r="H10" s="10" t="str">
        <x:v>Walk §15 with the investigators. For each item, confirm the owner and the "must be decided by" phase. Identify which items need the collaborators (D-12 needs Dr. Liang and Dr. Park's equipment details).</x:v>
      </x:c>
      <x:c r="I10" s="10" t="str">
        <x:v>Project start</x:v>
      </x:c>
      <x:c r="J10" s="10" t="str"/>
      <x:c r="K10" s="10" t="str">
        <x:v>D-12</x:v>
      </x:c>
      <x:c r="L10" s="10" t="str">
        <x:v>every register row has an owner who has acknowledged it.</x:v>
      </x:c>
      <x:c r="M10" s="10" t="str">
        <x:v>every register row has an owner who has acknowledged it.</x:v>
      </x:c>
      <x:c r="N10" s="10" t="str">
        <x:v>planning/decisions/</x:v>
      </x:c>
      <x:c r="O10" s="10" t="str">
        <x:v>Investigator and developer</x:v>
      </x:c>
      <x:c r="P10" s="10" t="str">
        <x:v>mixed</x:v>
      </x:c>
      <x:c r="Q10" s="10" t="str">
        <x:v>Foundation</x:v>
      </x:c>
      <x:c r="R10" s="10" t="str">
        <x:v>not_started</x:v>
      </x:c>
      <x:c r="S10" s="10" t="str">
        <x:f>IF(COUNTIFS('Atomic Steps'!$C$6:$C$248,B10,'Atomic Steps'!$N$6:$N$248,"blocked")&gt;0,"blocked",IF(COUNTIFS('Atomic Steps'!$C$6:$C$248,B10,'Atomic Steps'!$N$6:$N$248,"in_progress")&gt;0,"in_progress",IF(COUNTIFS('Atomic Steps'!$C$6:$C$248,B10,'Atomic Steps'!$N$6:$N$248,"verification_pending")&gt;0,"verification_pending",IF(COUNTIFS('Atomic Steps'!$C$6:$C$248,B10,'Atomic Steps'!$N$6:$N$248,"done")=COUNTIF('Atomic Steps'!$C$6:$C$248,B10),"done",IF(COUNTIFS('Atomic Steps'!$C$6:$C$248,B10,'Atomic Steps'!$N$6:$N$248,"ready")&gt;0,"ready","not_started")))))</x:f>
        <x:v>not_started</x:v>
      </x:c>
      <x:c r="T10" s="10" t="str"/>
      <x:c r="U10" s="10" t="str"/>
      <x:c r="V10" s="10" t="str"/>
      <x:c r="W10" s="10" t="str">
        <x:v>ELTS Build Plan P0.5</x:v>
      </x:c>
    </x:row>
    <x:row r="11">
      <x:c r="A11" s="34" t="n">
        <x:v>6</x:v>
      </x:c>
      <x:c r="B11" s="34" t="str">
        <x:v>P0.6</x:v>
      </x:c>
      <x:c r="C11" s="34" t="str">
        <x:v>P0</x:v>
      </x:c>
      <x:c r="D11" s="34" t="str">
        <x:v>Foundations</x:v>
      </x:c>
      <x:c r="E11" s="34" t="str">
        <x:v>G0</x:v>
      </x:c>
      <x:c r="F11" s="34" t="str">
        <x:v>WS-E, WS-F</x:v>
      </x:c>
      <x:c r="G11" s="34" t="str">
        <x:v>Safety documentation started</x:v>
      </x:c>
      <x:c r="H11" s="34" t="str">
        <x:v>Two documents are opened now and completed by Phase 7:
ELTS emitter safety sheet (D-13, D-14): LED part numbers, wattage, color temperature, beam angle, optics, drive current; basis of the IRB's exposure approval; IEC 62471 classification or a written statement of why one is not required. Owned by the investigators; the developer supplies the operational limits it implies (max on-time per block, Appendix D.5).
Mock weapon campus notice (§13.4): who is informed, storage, transport rules.</x:v>
      </x:c>
      <x:c r="I11" s="34" t="str">
        <x:v>Project start</x:v>
      </x:c>
      <x:c r="J11" s="34" t="str"/>
      <x:c r="K11" s="34" t="str">
        <x:v>D-13, D-14</x:v>
      </x:c>
      <x:c r="L11" s="34" t="str">
        <x:v>both documents exist with owners and a target completion date.</x:v>
      </x:c>
      <x:c r="M11" s="34" t="str">
        <x:v>both documents exist with owners and a target completion date.</x:v>
      </x:c>
      <x:c r="N11" s="34" t="str">
        <x:v>docs/safety/</x:v>
      </x:c>
      <x:c r="O11" s="34" t="str">
        <x:v>Investigator and developer</x:v>
      </x:c>
      <x:c r="P11" s="34" t="str">
        <x:v>mixed</x:v>
      </x:c>
      <x:c r="Q11" s="34" t="str">
        <x:v>Foundation</x:v>
      </x:c>
      <x:c r="R11" s="34" t="str">
        <x:v>not_started</x:v>
      </x:c>
      <x:c r="S11" s="34" t="str">
        <x:f>IF(COUNTIFS('Atomic Steps'!$C$6:$C$248,B11,'Atomic Steps'!$N$6:$N$248,"blocked")&gt;0,"blocked",IF(COUNTIFS('Atomic Steps'!$C$6:$C$248,B11,'Atomic Steps'!$N$6:$N$248,"in_progress")&gt;0,"in_progress",IF(COUNTIFS('Atomic Steps'!$C$6:$C$248,B11,'Atomic Steps'!$N$6:$N$248,"verification_pending")&gt;0,"verification_pending",IF(COUNTIFS('Atomic Steps'!$C$6:$C$248,B11,'Atomic Steps'!$N$6:$N$248,"done")=COUNTIF('Atomic Steps'!$C$6:$C$248,B11),"done",IF(COUNTIFS('Atomic Steps'!$C$6:$C$248,B11,'Atomic Steps'!$N$6:$N$248,"ready")&gt;0,"ready","not_started")))))</x:f>
        <x:v>not_started</x:v>
      </x:c>
      <x:c r="T11" s="34" t="str"/>
      <x:c r="U11" s="34" t="str"/>
      <x:c r="V11" s="34" t="str"/>
      <x:c r="W11" s="34" t="str">
        <x:v>ELTS Build Plan P0.6</x:v>
      </x:c>
    </x:row>
    <x:row r="12">
      <x:c r="A12" s="10" t="n">
        <x:v>7</x:v>
      </x:c>
      <x:c r="B12" s="10" t="str">
        <x:v>P0.7</x:v>
      </x:c>
      <x:c r="C12" s="10" t="str">
        <x:v>P0</x:v>
      </x:c>
      <x:c r="D12" s="10" t="str">
        <x:v>Foundations</x:v>
      </x:c>
      <x:c r="E12" s="10" t="str">
        <x:v>G0</x:v>
      </x:c>
      <x:c r="F12" s="10" t="str">
        <x:v>WS-E, WS-F</x:v>
      </x:c>
      <x:c r="G12" s="10" t="str">
        <x:v>Room and mounting survey</x:v>
      </x:c>
      <x:c r="H12" s="10" t="str">
        <x:v>Photograph and measure the lab space that will be used. Record candidate positions for the display, base station (must be above the display, §5.1), participant standing zone, ELTS placement (must illuminate the participant without spilling onto the display, §8), operator station, and the collaborators' equipment. Feed this into D-01 and D-02. Do not finalize anything — this is input to a decision, not the decision.</x:v>
      </x:c>
      <x:c r="I12" s="10" t="str">
        <x:v>Project start</x:v>
      </x:c>
      <x:c r="J12" s="10" t="str"/>
      <x:c r="K12" s="10" t="str">
        <x:v>D-01, D-02</x:v>
      </x:c>
      <x:c r="L12" s="10" t="str">
        <x:v>a one-page sketch with measurements exists.</x:v>
      </x:c>
      <x:c r="M12" s="10" t="str">
        <x:v>a one-page sketch with measurements exists.</x:v>
      </x:c>
      <x:c r="N12" s="10" t="str">
        <x:v>docs/rig/room-survey.md</x:v>
      </x:c>
      <x:c r="O12" s="10" t="str">
        <x:v>Investigator and developer</x:v>
      </x:c>
      <x:c r="P12" s="10" t="str">
        <x:v>mixed</x:v>
      </x:c>
      <x:c r="Q12" s="10" t="str">
        <x:v>Foundation</x:v>
      </x:c>
      <x:c r="R12" s="10" t="str">
        <x:v>not_started</x:v>
      </x:c>
      <x:c r="S12" s="10" t="str">
        <x:f>IF(COUNTIFS('Atomic Steps'!$C$6:$C$248,B12,'Atomic Steps'!$N$6:$N$248,"blocked")&gt;0,"blocked",IF(COUNTIFS('Atomic Steps'!$C$6:$C$248,B12,'Atomic Steps'!$N$6:$N$248,"in_progress")&gt;0,"in_progress",IF(COUNTIFS('Atomic Steps'!$C$6:$C$248,B12,'Atomic Steps'!$N$6:$N$248,"verification_pending")&gt;0,"verification_pending",IF(COUNTIFS('Atomic Steps'!$C$6:$C$248,B12,'Atomic Steps'!$N$6:$N$248,"done")=COUNTIF('Atomic Steps'!$C$6:$C$248,B12),"done",IF(COUNTIFS('Atomic Steps'!$C$6:$C$248,B12,'Atomic Steps'!$N$6:$N$248,"ready")&gt;0,"ready","not_started")))))</x:f>
        <x:v>not_started</x:v>
      </x:c>
      <x:c r="T12" s="10" t="str"/>
      <x:c r="U12" s="10" t="str"/>
      <x:c r="V12" s="10" t="str"/>
      <x:c r="W12" s="10" t="str">
        <x:v>ELTS Build Plan P0.7</x:v>
      </x:c>
    </x:row>
    <x:row r="13">
      <x:c r="A13" s="34" t="n">
        <x:v>8</x:v>
      </x:c>
      <x:c r="B13" s="34" t="str">
        <x:v>P1.1</x:v>
      </x:c>
      <x:c r="C13" s="34" t="str">
        <x:v>P1</x:v>
      </x:c>
      <x:c r="D13" s="34" t="str">
        <x:v>Tracking online</x:v>
      </x:c>
      <x:c r="E13" s="34" t="str">
        <x:v>G1</x:v>
      </x:c>
      <x:c r="F13" s="34" t="str">
        <x:v>WS-A</x:v>
      </x:c>
      <x:c r="G13" s="34" t="str">
        <x:v>Base station temporary mount</x:v>
      </x:c>
      <x:c r="H13" s="34" t="str">
        <x:v>Mount the base station high, angled down, at a plausible position above where the display will be (final position is D-02). Power it and confirm the status LED. Note: it can be moved later; everything downstream is re-probed, not re-coded.</x:v>
      </x:c>
      <x:c r="I13" s="34" t="str">
        <x:v>G0 passed and tracking hardware available</x:v>
      </x:c>
      <x:c r="J13" s="34" t="str">
        <x:v>G0</x:v>
      </x:c>
      <x:c r="K13" s="34" t="str">
        <x:v>D-02</x:v>
      </x:c>
      <x:c r="L13" s="34" t="str">
        <x:v>station powered and visible to a tracker.</x:v>
      </x:c>
      <x:c r="M13" s="34" t="str">
        <x:v>station powered and visible to a tracker.</x:v>
      </x:c>
      <x:c r="N13" s="34" t="str">
        <x:v>Code, documentation, test evidence, or lab evidence named in the task</x:v>
      </x:c>
      <x:c r="O13" s="34" t="str">
        <x:v>Developer</x:v>
      </x:c>
      <x:c r="P13" s="34" t="str">
        <x:v>lab_hardware</x:v>
      </x:c>
      <x:c r="Q13" s="34" t="str">
        <x:v>Tracking and fabrication</x:v>
      </x:c>
      <x:c r="R13" s="34" t="str">
        <x:v>not_started</x:v>
      </x:c>
      <x:c r="S13" s="34" t="str">
        <x:f>IF(COUNTIFS('Atomic Steps'!$C$6:$C$248,B13,'Atomic Steps'!$N$6:$N$248,"blocked")&gt;0,"blocked",IF(COUNTIFS('Atomic Steps'!$C$6:$C$248,B13,'Atomic Steps'!$N$6:$N$248,"in_progress")&gt;0,"in_progress",IF(COUNTIFS('Atomic Steps'!$C$6:$C$248,B13,'Atomic Steps'!$N$6:$N$248,"verification_pending")&gt;0,"verification_pending",IF(COUNTIFS('Atomic Steps'!$C$6:$C$248,B13,'Atomic Steps'!$N$6:$N$248,"done")=COUNTIF('Atomic Steps'!$C$6:$C$248,B13),"done",IF(COUNTIFS('Atomic Steps'!$C$6:$C$248,B13,'Atomic Steps'!$N$6:$N$248,"ready")&gt;0,"ready","not_started")))))</x:f>
        <x:v>not_started</x:v>
      </x:c>
      <x:c r="T13" s="34" t="str"/>
      <x:c r="U13" s="34" t="str"/>
      <x:c r="V13" s="34" t="str"/>
      <x:c r="W13" s="34" t="str">
        <x:v>ELTS Build Plan P1.1</x:v>
      </x:c>
    </x:row>
    <x:row r="14">
      <x:c r="A14" s="10" t="n">
        <x:v>9</x:v>
      </x:c>
      <x:c r="B14" s="10" t="str">
        <x:v>P1.2</x:v>
      </x:c>
      <x:c r="C14" s="10" t="str">
        <x:v>P1</x:v>
      </x:c>
      <x:c r="D14" s="10" t="str">
        <x:v>Tracking online</x:v>
      </x:c>
      <x:c r="E14" s="10" t="str">
        <x:v>G1</x:v>
      </x:c>
      <x:c r="F14" s="10" t="str">
        <x:v>WS-A</x:v>
      </x:c>
      <x:c r="G14" s="10" t="str">
        <x:v>SteamVR headless configuration</x:v>
      </x:c>
      <x:c r="H14" s="10" t="str">
        <x:v>Apply the steamvr.vrsettings changes in Appendix G. Launch SteamVR with no HMD attached and confirm it reaches a "ready" state with the null driver and lists both trackers. If trackers do not appear, check activateMultipleDrivers (Appendix G).</x:v>
      </x:c>
      <x:c r="I14" s="10" t="str">
        <x:v>G0 passed and tracking hardware available</x:v>
      </x:c>
      <x:c r="J14" s="10" t="str">
        <x:v>P1.1</x:v>
      </x:c>
      <x:c r="K14" s="10" t="str"/>
      <x:c r="L14" s="10" t="str">
        <x:v>SteamVR status window shows both trackers green with no HMD.</x:v>
      </x:c>
      <x:c r="M14" s="10" t="str">
        <x:v>SteamVR status window shows both trackers green with no HMD.</x:v>
      </x:c>
      <x:c r="N14" s="10" t="str">
        <x:v>Code, documentation, test evidence, or lab evidence named in the task</x:v>
      </x:c>
      <x:c r="O14" s="10" t="str">
        <x:v>Developer</x:v>
      </x:c>
      <x:c r="P14" s="10" t="str">
        <x:v>lab_hardware</x:v>
      </x:c>
      <x:c r="Q14" s="10" t="str">
        <x:v>Tracking and fabrication</x:v>
      </x:c>
      <x:c r="R14" s="10" t="str">
        <x:v>not_started</x:v>
      </x:c>
      <x:c r="S14" s="10" t="str">
        <x:f>IF(COUNTIFS('Atomic Steps'!$C$6:$C$248,B14,'Atomic Steps'!$N$6:$N$248,"blocked")&gt;0,"blocked",IF(COUNTIFS('Atomic Steps'!$C$6:$C$248,B14,'Atomic Steps'!$N$6:$N$248,"in_progress")&gt;0,"in_progress",IF(COUNTIFS('Atomic Steps'!$C$6:$C$248,B14,'Atomic Steps'!$N$6:$N$248,"verification_pending")&gt;0,"verification_pending",IF(COUNTIFS('Atomic Steps'!$C$6:$C$248,B14,'Atomic Steps'!$N$6:$N$248,"done")=COUNTIF('Atomic Steps'!$C$6:$C$248,B14),"done",IF(COUNTIFS('Atomic Steps'!$C$6:$C$248,B14,'Atomic Steps'!$N$6:$N$248,"ready")&gt;0,"ready","not_started")))))</x:f>
        <x:v>not_started</x:v>
      </x:c>
      <x:c r="T14" s="10" t="str"/>
      <x:c r="U14" s="10" t="str"/>
      <x:c r="V14" s="10" t="str"/>
      <x:c r="W14" s="10" t="str">
        <x:v>ELTS Build Plan P1.2</x:v>
      </x:c>
    </x:row>
    <x:row r="15">
      <x:c r="A15" s="34" t="n">
        <x:v>10</x:v>
      </x:c>
      <x:c r="B15" s="34" t="str">
        <x:v>P1.3</x:v>
      </x:c>
      <x:c r="C15" s="34" t="str">
        <x:v>P1</x:v>
      </x:c>
      <x:c r="D15" s="34" t="str">
        <x:v>Tracking online</x:v>
      </x:c>
      <x:c r="E15" s="34" t="str">
        <x:v>G1</x:v>
      </x:c>
      <x:c r="F15" s="34" t="str">
        <x:v>WS-A</x:v>
      </x:c>
      <x:c r="G15" s="34" t="str">
        <x:v>Tracker identification and roles</x:v>
      </x:c>
      <x:c r="H15" s="34" t="str">
        <x:v>Label the two trackers physically ("WEAPON", "HEAD"). Record both serial numbers in rig.json (Appendix A). In SteamVR → Settings → Controllers → Manage Trackers, set the WEAPON tracker's role to a held-in-hand role (§5.3); leave HEAD as a generic tracker.
### Tasks — WS-C spikes (each a separate scene/script; each gets a written finding)</x:v>
      </x:c>
      <x:c r="I15" s="34" t="str">
        <x:v>G0 passed and tracking hardware available</x:v>
      </x:c>
      <x:c r="J15" s="34" t="str">
        <x:v>P1.2</x:v>
      </x:c>
      <x:c r="K15" s="34" t="str"/>
      <x:c r="L15" s="34" t="str">
        <x:v>serials recorded; roles set; screenshot of the settings page in docs/.</x:v>
      </x:c>
      <x:c r="M15" s="34" t="str">
        <x:v>serials recorded; roles set; screenshot of the settings page in docs/.</x:v>
      </x:c>
      <x:c r="N15" s="34" t="str">
        <x:v>config/rig/rig.json and tracker-role evidence</x:v>
      </x:c>
      <x:c r="O15" s="34" t="str">
        <x:v>Developer</x:v>
      </x:c>
      <x:c r="P15" s="34" t="str">
        <x:v>lab_hardware</x:v>
      </x:c>
      <x:c r="Q15" s="34" t="str">
        <x:v>Tracking and fabrication</x:v>
      </x:c>
      <x:c r="R15" s="34" t="str">
        <x:v>not_started</x:v>
      </x:c>
      <x:c r="S15" s="34" t="str">
        <x:f>IF(COUNTIFS('Atomic Steps'!$C$6:$C$248,B15,'Atomic Steps'!$N$6:$N$248,"blocked")&gt;0,"blocked",IF(COUNTIFS('Atomic Steps'!$C$6:$C$248,B15,'Atomic Steps'!$N$6:$N$248,"in_progress")&gt;0,"in_progress",IF(COUNTIFS('Atomic Steps'!$C$6:$C$248,B15,'Atomic Steps'!$N$6:$N$248,"verification_pending")&gt;0,"verification_pending",IF(COUNTIFS('Atomic Steps'!$C$6:$C$248,B15,'Atomic Steps'!$N$6:$N$248,"done")=COUNTIF('Atomic Steps'!$C$6:$C$248,B15),"done",IF(COUNTIFS('Atomic Steps'!$C$6:$C$248,B15,'Atomic Steps'!$N$6:$N$248,"ready")&gt;0,"ready","not_started")))))</x:f>
        <x:v>not_started</x:v>
      </x:c>
      <x:c r="T15" s="34" t="str"/>
      <x:c r="U15" s="34" t="str"/>
      <x:c r="V15" s="34" t="str"/>
      <x:c r="W15" s="34" t="str">
        <x:v>ELTS Build Plan P1.3</x:v>
      </x:c>
    </x:row>
    <x:row r="16">
      <x:c r="A16" s="10" t="n">
        <x:v>11</x:v>
      </x:c>
      <x:c r="B16" s="10" t="str">
        <x:v>P1.4</x:v>
      </x:c>
      <x:c r="C16" s="10" t="str">
        <x:v>P1</x:v>
      </x:c>
      <x:c r="D16" s="10" t="str">
        <x:v>Tracking online</x:v>
      </x:c>
      <x:c r="E16" s="10" t="str">
        <x:v>G1</x:v>
      </x:c>
      <x:c r="F16" s="10" t="str">
        <x:v>WS-A, WS-C</x:v>
      </x:c>
      <x:c r="G16" s="10" t="str">
        <x:v>Spike: OpenVR init from Unity without XR</x:v>
      </x:c>
      <x:c r="H16" s="10" t="str">
        <x:v>OpenVR.Init in VRApplication_Background mode from a plain MonoBehaviour. Confirm it succeeds when SteamVR is already running and fails cleanly (with a clear operator message) when it is not. Confirm OpenVR.System is non-null and device enumeration works.
Finding: which init mode to use; startup-order requirement for the operator checklist.</x:v>
      </x:c>
      <x:c r="I16" s="10" t="str">
        <x:v>G0 passed and tracking hardware available</x:v>
      </x:c>
      <x:c r="J16" s="10" t="str">
        <x:v>P1.2</x:v>
      </x:c>
      <x:c r="K16" s="10" t="str"/>
      <x:c r="L16" s="10" t="str">
        <x:v>Acceptance criteria and required evidence are satisfied and recorded.</x:v>
      </x:c>
      <x:c r="M16" s="10" t="str">
        <x:v>Acceptance criteria and required evidence are satisfied and recorded.</x:v>
      </x:c>
      <x:c r="N16" s="10" t="str">
        <x:v>docs/spikes.md</x:v>
      </x:c>
      <x:c r="O16" s="10" t="str">
        <x:v>Developer</x:v>
      </x:c>
      <x:c r="P16" s="10" t="str">
        <x:v>agent</x:v>
      </x:c>
      <x:c r="Q16" s="10" t="str">
        <x:v>Tracking and fabrication</x:v>
      </x:c>
      <x:c r="R16" s="10" t="str">
        <x:v>not_started</x:v>
      </x:c>
      <x:c r="S16" s="10" t="str">
        <x:f>IF(COUNTIFS('Atomic Steps'!$C$6:$C$248,B16,'Atomic Steps'!$N$6:$N$248,"blocked")&gt;0,"blocked",IF(COUNTIFS('Atomic Steps'!$C$6:$C$248,B16,'Atomic Steps'!$N$6:$N$248,"in_progress")&gt;0,"in_progress",IF(COUNTIFS('Atomic Steps'!$C$6:$C$248,B16,'Atomic Steps'!$N$6:$N$248,"verification_pending")&gt;0,"verification_pending",IF(COUNTIFS('Atomic Steps'!$C$6:$C$248,B16,'Atomic Steps'!$N$6:$N$248,"done")=COUNTIF('Atomic Steps'!$C$6:$C$248,B16),"done",IF(COUNTIFS('Atomic Steps'!$C$6:$C$248,B16,'Atomic Steps'!$N$6:$N$248,"ready")&gt;0,"ready","not_started")))))</x:f>
        <x:v>not_started</x:v>
      </x:c>
      <x:c r="T16" s="10" t="str"/>
      <x:c r="U16" s="10" t="str"/>
      <x:c r="V16" s="10" t="str"/>
      <x:c r="W16" s="10" t="str">
        <x:v>ELTS Build Plan P1.4</x:v>
      </x:c>
    </x:row>
    <x:row r="17">
      <x:c r="A17" s="34" t="n">
        <x:v>12</x:v>
      </x:c>
      <x:c r="B17" s="34" t="str">
        <x:v>P1.5</x:v>
      </x:c>
      <x:c r="C17" s="34" t="str">
        <x:v>P1</x:v>
      </x:c>
      <x:c r="D17" s="34" t="str">
        <x:v>Tracking online</x:v>
      </x:c>
      <x:c r="E17" s="34" t="str">
        <x:v>G1</x:v>
      </x:c>
      <x:c r="F17" s="34" t="str">
        <x:v>WS-A, WS-C</x:v>
      </x:c>
      <x:c r="G17" s="34" t="str">
        <x:v>Spike: serial-number binding</x:v>
      </x:c>
      <x:c r="H17" s="34" t="str">
        <x:v>Enumerate devices, read Prop_SerialNumber_String, match to config. Restart SteamVR three times, and swap which tracker is powered on first; confirm the binding is correct every time. Handle VREvent_TrackedDeviceActivated / Deactivated so a tracker that drops and reconnects re-binds.
Finding: binding is stable across restarts and reordering.</x:v>
      </x:c>
      <x:c r="I17" s="34" t="str">
        <x:v>G0 passed and tracking hardware available</x:v>
      </x:c>
      <x:c r="J17" s="34" t="str">
        <x:v>P1.3, P1.4</x:v>
      </x:c>
      <x:c r="K17" s="34" t="str"/>
      <x:c r="L17" s="34" t="str">
        <x:v>Acceptance criteria and required evidence are satisfied and recorded.</x:v>
      </x:c>
      <x:c r="M17" s="34" t="str">
        <x:v>Acceptance criteria and required evidence are satisfied and recorded.</x:v>
      </x:c>
      <x:c r="N17" s="34" t="str">
        <x:v>docs/spikes.md</x:v>
      </x:c>
      <x:c r="O17" s="34" t="str">
        <x:v>Developer</x:v>
      </x:c>
      <x:c r="P17" s="34" t="str">
        <x:v>agent</x:v>
      </x:c>
      <x:c r="Q17" s="34" t="str">
        <x:v>Tracking and fabrication</x:v>
      </x:c>
      <x:c r="R17" s="34" t="str">
        <x:v>not_started</x:v>
      </x:c>
      <x:c r="S17" s="34" t="str">
        <x:f>IF(COUNTIFS('Atomic Steps'!$C$6:$C$248,B17,'Atomic Steps'!$N$6:$N$248,"blocked")&gt;0,"blocked",IF(COUNTIFS('Atomic Steps'!$C$6:$C$248,B17,'Atomic Steps'!$N$6:$N$248,"in_progress")&gt;0,"in_progress",IF(COUNTIFS('Atomic Steps'!$C$6:$C$248,B17,'Atomic Steps'!$N$6:$N$248,"verification_pending")&gt;0,"verification_pending",IF(COUNTIFS('Atomic Steps'!$C$6:$C$248,B17,'Atomic Steps'!$N$6:$N$248,"done")=COUNTIF('Atomic Steps'!$C$6:$C$248,B17),"done",IF(COUNTIFS('Atomic Steps'!$C$6:$C$248,B17,'Atomic Steps'!$N$6:$N$248,"ready")&gt;0,"ready","not_started")))))</x:f>
        <x:v>not_started</x:v>
      </x:c>
      <x:c r="T17" s="34" t="str"/>
      <x:c r="U17" s="34" t="str"/>
      <x:c r="V17" s="34" t="str"/>
      <x:c r="W17" s="34" t="str">
        <x:v>ELTS Build Plan P1.5</x:v>
      </x:c>
    </x:row>
    <x:row r="18">
      <x:c r="A18" s="10" t="n">
        <x:v>13</x:v>
      </x:c>
      <x:c r="B18" s="10" t="str">
        <x:v>P1.6</x:v>
      </x:c>
      <x:c r="C18" s="10" t="str">
        <x:v>P1</x:v>
      </x:c>
      <x:c r="D18" s="10" t="str">
        <x:v>Tracking online</x:v>
      </x:c>
      <x:c r="E18" s="10" t="str">
        <x:v>G1</x:v>
      </x:c>
      <x:c r="F18" s="10" t="str">
        <x:v>WS-A, WS-C</x:v>
      </x:c>
      <x:c r="G18" s="10" t="str">
        <x:v>Spike: pose polling at 250 Hz from a dedicated thread</x:v>
      </x:c>
      <x:c r="H18" s="10" t="str">
        <x:v>Call GetDeviceToAbsoluteTrackingPose with 0.0 s prediction on a background thread with a high-resolution timer loop. Measure achieved rate and jitter over 60 s. Confirm bPoseIsValid, bDeviceIsConnected, and eTrackingResult change as expected when a tracker is covered.
Finding: achieved sample rate; whether cross-thread OpenVR calls behave; timer strategy that holds 250 Hz on Windows.</x:v>
      </x:c>
      <x:c r="I18" s="10" t="str">
        <x:v>G0 passed and tracking hardware available</x:v>
      </x:c>
      <x:c r="J18" s="10" t="str">
        <x:v>P1.4</x:v>
      </x:c>
      <x:c r="K18" s="10" t="str"/>
      <x:c r="L18" s="10" t="str">
        <x:v>Acceptance criteria and required evidence are satisfied and recorded.</x:v>
      </x:c>
      <x:c r="M18" s="10" t="str">
        <x:v>Acceptance criteria and required evidence are satisfied and recorded.</x:v>
      </x:c>
      <x:c r="N18" s="10" t="str">
        <x:v>docs/spikes.md and rate/jitter output</x:v>
      </x:c>
      <x:c r="O18" s="10" t="str">
        <x:v>Developer</x:v>
      </x:c>
      <x:c r="P18" s="10" t="str">
        <x:v>agent</x:v>
      </x:c>
      <x:c r="Q18" s="10" t="str">
        <x:v>Tracking and fabrication</x:v>
      </x:c>
      <x:c r="R18" s="10" t="str">
        <x:v>not_started</x:v>
      </x:c>
      <x:c r="S18" s="10" t="str">
        <x:f>IF(COUNTIFS('Atomic Steps'!$C$6:$C$248,B18,'Atomic Steps'!$N$6:$N$248,"blocked")&gt;0,"blocked",IF(COUNTIFS('Atomic Steps'!$C$6:$C$248,B18,'Atomic Steps'!$N$6:$N$248,"in_progress")&gt;0,"in_progress",IF(COUNTIFS('Atomic Steps'!$C$6:$C$248,B18,'Atomic Steps'!$N$6:$N$248,"verification_pending")&gt;0,"verification_pending",IF(COUNTIFS('Atomic Steps'!$C$6:$C$248,B18,'Atomic Steps'!$N$6:$N$248,"done")=COUNTIF('Atomic Steps'!$C$6:$C$248,B18),"done",IF(COUNTIFS('Atomic Steps'!$C$6:$C$248,B18,'Atomic Steps'!$N$6:$N$248,"ready")&gt;0,"ready","not_started")))))</x:f>
        <x:v>not_started</x:v>
      </x:c>
      <x:c r="T18" s="10" t="str"/>
      <x:c r="U18" s="10" t="str"/>
      <x:c r="V18" s="10" t="str"/>
      <x:c r="W18" s="10" t="str">
        <x:v>ELTS Build Plan P1.6</x:v>
      </x:c>
    </x:row>
    <x:row r="19">
      <x:c r="A19" s="34" t="n">
        <x:v>14</x:v>
      </x:c>
      <x:c r="B19" s="34" t="str">
        <x:v>P1.7</x:v>
      </x:c>
      <x:c r="C19" s="34" t="str">
        <x:v>P1</x:v>
      </x:c>
      <x:c r="D19" s="34" t="str">
        <x:v>Tracking online</x:v>
      </x:c>
      <x:c r="E19" s="34" t="str">
        <x:v>G1</x:v>
      </x:c>
      <x:c r="F19" s="34" t="str">
        <x:v>WS-A, WS-C</x:v>
      </x:c>
      <x:c r="G19" s="34" t="str">
        <x:v>Spike: tracking universe stability</x:v>
      </x:c>
      <x:c r="H19" s="34" t="str">
        <x:v>Read poses in TrackingUniverseRawAndUncalibrated. Place a tracker on a fixed jig, record its position, restart SteamVR (and reboot the PC once), record again. Confirm the universe origin does not move when the base station does not move. Also confirm that the base station itself is enumerated as a tracked device (TrackedDeviceClass_TrackingReference) with a readable pose — the operator view will draw it from this rather than from config.
Finding: which universe origin to use (expected: RawAndUncalibrated, which anchors to the base station without needing a room setup); base station pose readable.</x:v>
      </x:c>
      <x:c r="I19" s="34" t="str">
        <x:v>G0 passed and tracking hardware available</x:v>
      </x:c>
      <x:c r="J19" s="34" t="str">
        <x:v>P1.4</x:v>
      </x:c>
      <x:c r="K19" s="34" t="str"/>
      <x:c r="L19" s="34" t="str">
        <x:v>Acceptance criteria and required evidence are satisfied and recorded.</x:v>
      </x:c>
      <x:c r="M19" s="34" t="str">
        <x:v>Acceptance criteria and required evidence are satisfied and recorded.</x:v>
      </x:c>
      <x:c r="N19" s="34" t="str">
        <x:v>docs/spikes.md</x:v>
      </x:c>
      <x:c r="O19" s="34" t="str">
        <x:v>Developer</x:v>
      </x:c>
      <x:c r="P19" s="34" t="str">
        <x:v>agent</x:v>
      </x:c>
      <x:c r="Q19" s="34" t="str">
        <x:v>Tracking and fabrication</x:v>
      </x:c>
      <x:c r="R19" s="34" t="str">
        <x:v>not_started</x:v>
      </x:c>
      <x:c r="S19" s="34" t="str">
        <x:f>IF(COUNTIFS('Atomic Steps'!$C$6:$C$248,B19,'Atomic Steps'!$N$6:$N$248,"blocked")&gt;0,"blocked",IF(COUNTIFS('Atomic Steps'!$C$6:$C$248,B19,'Atomic Steps'!$N$6:$N$248,"in_progress")&gt;0,"in_progress",IF(COUNTIFS('Atomic Steps'!$C$6:$C$248,B19,'Atomic Steps'!$N$6:$N$248,"verification_pending")&gt;0,"verification_pending",IF(COUNTIFS('Atomic Steps'!$C$6:$C$248,B19,'Atomic Steps'!$N$6:$N$248,"done")=COUNTIF('Atomic Steps'!$C$6:$C$248,B19),"done",IF(COUNTIFS('Atomic Steps'!$C$6:$C$248,B19,'Atomic Steps'!$N$6:$N$248,"ready")&gt;0,"ready","not_started")))))</x:f>
        <x:v>not_started</x:v>
      </x:c>
      <x:c r="T19" s="34" t="str"/>
      <x:c r="U19" s="34" t="str"/>
      <x:c r="V19" s="34" t="str"/>
      <x:c r="W19" s="34" t="str">
        <x:v>ELTS Build Plan P1.7</x:v>
      </x:c>
    </x:row>
    <x:row r="20">
      <x:c r="A20" s="10" t="n">
        <x:v>15</x:v>
      </x:c>
      <x:c r="B20" s="10" t="str">
        <x:v>P1.8</x:v>
      </x:c>
      <x:c r="C20" s="10" t="str">
        <x:v>P1</x:v>
      </x:c>
      <x:c r="D20" s="10" t="str">
        <x:v>Tracking online</x:v>
      </x:c>
      <x:c r="E20" s="10" t="str">
        <x:v>G1</x:v>
      </x:c>
      <x:c r="F20" s="10" t="str">
        <x:v>WS-A, WS-C</x:v>
      </x:c>
      <x:c r="G20" s="10" t="str">
        <x:v>Spike: pogo-pin trigger</x:v>
      </x:c>
      <x:c r="H20" s="10" t="str">
        <x:v>With a temporary microswitch wired between pogo pins 4 and 2 on the WEAPON tracker (Appendix I for the pinout), poll GetControllerStateWithPose on the same thread and at the same instant as the pose. Confirm the trigger button bit toggles. Confirm it reads false if the tracker role is reverted to generic (this is the failure mode to document). Also test reading the press as a VREvent_ButtonPress event with eventAgeSeconds and note whether it offers finer timing than 4 ms polling.
Finding: trigger reads in background mode; polling vs. event timing; confirmed pin mapping.</x:v>
      </x:c>
      <x:c r="I20" s="10" t="str">
        <x:v>G0 passed and tracking hardware available</x:v>
      </x:c>
      <x:c r="J20" s="10" t="str">
        <x:v>P1.3, P1.4</x:v>
      </x:c>
      <x:c r="K20" s="10" t="str"/>
      <x:c r="L20" s="10" t="str">
        <x:v>Acceptance criteria and required evidence are satisfied and recorded.</x:v>
      </x:c>
      <x:c r="M20" s="10" t="str">
        <x:v>Acceptance criteria and required evidence are satisfied and recorded.</x:v>
      </x:c>
      <x:c r="N20" s="10" t="str">
        <x:v>docs/spikes.md</x:v>
      </x:c>
      <x:c r="O20" s="10" t="str">
        <x:v>Developer</x:v>
      </x:c>
      <x:c r="P20" s="10" t="str">
        <x:v>lab_hardware</x:v>
      </x:c>
      <x:c r="Q20" s="10" t="str">
        <x:v>Tracking and fabrication</x:v>
      </x:c>
      <x:c r="R20" s="10" t="str">
        <x:v>not_started</x:v>
      </x:c>
      <x:c r="S20" s="10" t="str">
        <x:f>IF(COUNTIFS('Atomic Steps'!$C$6:$C$248,B20,'Atomic Steps'!$N$6:$N$248,"blocked")&gt;0,"blocked",IF(COUNTIFS('Atomic Steps'!$C$6:$C$248,B20,'Atomic Steps'!$N$6:$N$248,"in_progress")&gt;0,"in_progress",IF(COUNTIFS('Atomic Steps'!$C$6:$C$248,B20,'Atomic Steps'!$N$6:$N$248,"verification_pending")&gt;0,"verification_pending",IF(COUNTIFS('Atomic Steps'!$C$6:$C$248,B20,'Atomic Steps'!$N$6:$N$248,"done")=COUNTIF('Atomic Steps'!$C$6:$C$248,B20),"done",IF(COUNTIFS('Atomic Steps'!$C$6:$C$248,B20,'Atomic Steps'!$N$6:$N$248,"ready")&gt;0,"ready","not_started")))))</x:f>
        <x:v>not_started</x:v>
      </x:c>
      <x:c r="T20" s="10" t="str"/>
      <x:c r="U20" s="10" t="str"/>
      <x:c r="V20" s="10" t="str"/>
      <x:c r="W20" s="10" t="str">
        <x:v>ELTS Build Plan P1.8</x:v>
      </x:c>
    </x:row>
    <x:row r="21">
      <x:c r="A21" s="34" t="n">
        <x:v>16</x:v>
      </x:c>
      <x:c r="B21" s="34" t="str">
        <x:v>P1.9</x:v>
      </x:c>
      <x:c r="C21" s="34" t="str">
        <x:v>P1</x:v>
      </x:c>
      <x:c r="D21" s="34" t="str">
        <x:v>Tracking online</x:v>
      </x:c>
      <x:c r="E21" s="34" t="str">
        <x:v>G1</x:v>
      </x:c>
      <x:c r="F21" s="34" t="str">
        <x:v>WS-A, WS-C</x:v>
      </x:c>
      <x:c r="G21" s="34" t="str">
        <x:v>Spike: handedness conversion</x:v>
      </x:c>
      <x:c r="H21" s="34" t="str">
        <x:v>Implement the OpenVR→Unity conversion in Appendix F.1. Physically rotate a tracker about each axis in a known direction and confirm the Unity gizmo rotates the same way. Translate it by a measured 500 mm and confirm the Unity delta is 0.500 m in the right direction.
Finding: conversion verified; becomes the only conversion site in the codebase (§12.3).</x:v>
      </x:c>
      <x:c r="I21" s="34" t="str">
        <x:v>G0 passed and tracking hardware available</x:v>
      </x:c>
      <x:c r="J21" s="34" t="str">
        <x:v>P1.4</x:v>
      </x:c>
      <x:c r="K21" s="34" t="str"/>
      <x:c r="L21" s="34" t="str">
        <x:v>Acceptance criteria and required evidence are satisfied and recorded.</x:v>
      </x:c>
      <x:c r="M21" s="34" t="str">
        <x:v>Acceptance criteria and required evidence are satisfied and recorded.</x:v>
      </x:c>
      <x:c r="N21" s="34" t="str">
        <x:v>docs/spikes.md</x:v>
      </x:c>
      <x:c r="O21" s="34" t="str">
        <x:v>Developer</x:v>
      </x:c>
      <x:c r="P21" s="34" t="str">
        <x:v>lab_hardware</x:v>
      </x:c>
      <x:c r="Q21" s="34" t="str">
        <x:v>Tracking and fabrication</x:v>
      </x:c>
      <x:c r="R21" s="34" t="str">
        <x:v>not_started</x:v>
      </x:c>
      <x:c r="S21" s="34" t="str">
        <x:f>IF(COUNTIFS('Atomic Steps'!$C$6:$C$248,B21,'Atomic Steps'!$N$6:$N$248,"blocked")&gt;0,"blocked",IF(COUNTIFS('Atomic Steps'!$C$6:$C$248,B21,'Atomic Steps'!$N$6:$N$248,"in_progress")&gt;0,"in_progress",IF(COUNTIFS('Atomic Steps'!$C$6:$C$248,B21,'Atomic Steps'!$N$6:$N$248,"verification_pending")&gt;0,"verification_pending",IF(COUNTIFS('Atomic Steps'!$C$6:$C$248,B21,'Atomic Steps'!$N$6:$N$248,"done")=COUNTIF('Atomic Steps'!$C$6:$C$248,B21),"done",IF(COUNTIFS('Atomic Steps'!$C$6:$C$248,B21,'Atomic Steps'!$N$6:$N$248,"ready")&gt;0,"ready","not_started")))))</x:f>
        <x:v>not_started</x:v>
      </x:c>
      <x:c r="T21" s="34" t="str"/>
      <x:c r="U21" s="34" t="str"/>
      <x:c r="V21" s="34" t="str"/>
      <x:c r="W21" s="34" t="str">
        <x:v>ELTS Build Plan P1.9</x:v>
      </x:c>
    </x:row>
    <x:row r="22">
      <x:c r="A22" s="10" t="n">
        <x:v>17</x:v>
      </x:c>
      <x:c r="B22" s="10" t="str">
        <x:v>P1.10</x:v>
      </x:c>
      <x:c r="C22" s="10" t="str">
        <x:v>P1</x:v>
      </x:c>
      <x:c r="D22" s="10" t="str">
        <x:v>Tracking online</x:v>
      </x:c>
      <x:c r="E22" s="10" t="str">
        <x:v>G1</x:v>
      </x:c>
      <x:c r="F22" s="10" t="str">
        <x:v>WS-A, WS-C</x:v>
      </x:c>
      <x:c r="G22" s="10" t="str">
        <x:v>Spike: multi-display</x:v>
      </x:c>
      <x:c r="H22" s="10" t="str">
        <x:v>Standalone build with two cameras, targetDisplay 0 and 1, Display.displays[1].Activate(). Confirm each appears on the intended physical output and that the assignment survives a reboot. Test what happens when only one display is connected (the build must refuse to start a session, §12.4).
Finding: display indexing behavior on this PC; startup check design.
### Tasks — WS-B fabrication starts (details in §13)</x:v>
      </x:c>
      <x:c r="I22" s="10" t="str">
        <x:v>G0 passed and tracking hardware available</x:v>
      </x:c>
      <x:c r="J22" s="10" t="str">
        <x:v>P0.2</x:v>
      </x:c>
      <x:c r="K22" s="10" t="str"/>
      <x:c r="L22" s="10" t="str">
        <x:v>Acceptance criteria and required evidence are satisfied and recorded.</x:v>
      </x:c>
      <x:c r="M22" s="10" t="str">
        <x:v>Acceptance criteria and required evidence are satisfied and recorded.</x:v>
      </x:c>
      <x:c r="N22" s="10" t="str">
        <x:v>docs/spikes.md</x:v>
      </x:c>
      <x:c r="O22" s="10" t="str">
        <x:v>Developer</x:v>
      </x:c>
      <x:c r="P22" s="10" t="str">
        <x:v>lab_hardware</x:v>
      </x:c>
      <x:c r="Q22" s="10" t="str">
        <x:v>Tracking and fabrication</x:v>
      </x:c>
      <x:c r="R22" s="10" t="str">
        <x:v>not_started</x:v>
      </x:c>
      <x:c r="S22" s="10" t="str">
        <x:f>IF(COUNTIFS('Atomic Steps'!$C$6:$C$248,B22,'Atomic Steps'!$N$6:$N$248,"blocked")&gt;0,"blocked",IF(COUNTIFS('Atomic Steps'!$C$6:$C$248,B22,'Atomic Steps'!$N$6:$N$248,"in_progress")&gt;0,"in_progress",IF(COUNTIFS('Atomic Steps'!$C$6:$C$248,B22,'Atomic Steps'!$N$6:$N$248,"verification_pending")&gt;0,"verification_pending",IF(COUNTIFS('Atomic Steps'!$C$6:$C$248,B22,'Atomic Steps'!$N$6:$N$248,"done")=COUNTIF('Atomic Steps'!$C$6:$C$248,B22),"done",IF(COUNTIFS('Atomic Steps'!$C$6:$C$248,B22,'Atomic Steps'!$N$6:$N$248,"ready")&gt;0,"ready","not_started")))))</x:f>
        <x:v>not_started</x:v>
      </x:c>
      <x:c r="T22" s="10" t="str"/>
      <x:c r="U22" s="10" t="str"/>
      <x:c r="V22" s="10" t="str"/>
      <x:c r="W22" s="10" t="str">
        <x:v>ELTS Build Plan P1.10</x:v>
      </x:c>
    </x:row>
    <x:row r="23">
      <x:c r="A23" s="34" t="n">
        <x:v>18</x:v>
      </x:c>
      <x:c r="B23" s="34" t="str">
        <x:v>P1.11</x:v>
      </x:c>
      <x:c r="C23" s="34" t="str">
        <x:v>P1</x:v>
      </x:c>
      <x:c r="D23" s="34" t="str">
        <x:v>Tracking online</x:v>
      </x:c>
      <x:c r="E23" s="34" t="str">
        <x:v>G1</x:v>
      </x:c>
      <x:c r="F23" s="34" t="str">
        <x:v>WS-B</x:v>
      </x:c>
      <x:c r="G23" s="34" t="str">
        <x:v>Decide weapon platform and sight type (D-09)</x:v>
      </x:c>
      <x:c r="H23" s="34" t="str">
        <x:v>Needed before ordering the platform.</x:v>
      </x:c>
      <x:c r="I23" s="34" t="str">
        <x:v>G0 passed and tracking hardware available</x:v>
      </x:c>
      <x:c r="J23" s="34" t="str">
        <x:v>D-09</x:v>
      </x:c>
      <x:c r="K23" s="34" t="str">
        <x:v>D-09</x:v>
      </x:c>
      <x:c r="L23" s="34" t="str">
        <x:v>Acceptance criteria and required evidence are satisfied and recorded.</x:v>
      </x:c>
      <x:c r="M23" s="34" t="str">
        <x:v>Acceptance criteria and required evidence are satisfied and recorded.</x:v>
      </x:c>
      <x:c r="N23" s="34" t="str">
        <x:v>Code, documentation, test evidence, or lab evidence named in the task</x:v>
      </x:c>
      <x:c r="O23" s="34" t="str">
        <x:v>Fabricator and investigator</x:v>
      </x:c>
      <x:c r="P23" s="34" t="str">
        <x:v>lab_hardware</x:v>
      </x:c>
      <x:c r="Q23" s="34" t="str">
        <x:v>Tracking and fabrication</x:v>
      </x:c>
      <x:c r="R23" s="34" t="str">
        <x:v>not_started</x:v>
      </x:c>
      <x:c r="S23" s="34" t="str">
        <x:f>IF(COUNTIFS('Atomic Steps'!$C$6:$C$248,B23,'Atomic Steps'!$N$6:$N$248,"blocked")&gt;0,"blocked",IF(COUNTIFS('Atomic Steps'!$C$6:$C$248,B23,'Atomic Steps'!$N$6:$N$248,"in_progress")&gt;0,"in_progress",IF(COUNTIFS('Atomic Steps'!$C$6:$C$248,B23,'Atomic Steps'!$N$6:$N$248,"verification_pending")&gt;0,"verification_pending",IF(COUNTIFS('Atomic Steps'!$C$6:$C$248,B23,'Atomic Steps'!$N$6:$N$248,"done")=COUNTIF('Atomic Steps'!$C$6:$C$248,B23),"done",IF(COUNTIFS('Atomic Steps'!$C$6:$C$248,B23,'Atomic Steps'!$N$6:$N$248,"ready")&gt;0,"ready","not_started")))))</x:f>
        <x:v>not_started</x:v>
      </x:c>
      <x:c r="T23" s="34" t="str"/>
      <x:c r="U23" s="34" t="str"/>
      <x:c r="V23" s="34" t="str"/>
      <x:c r="W23" s="34" t="str">
        <x:v>ELTS Build Plan P1.11</x:v>
      </x:c>
    </x:row>
    <x:row r="24">
      <x:c r="A24" s="10" t="n">
        <x:v>19</x:v>
      </x:c>
      <x:c r="B24" s="10" t="str">
        <x:v>P1.12</x:v>
      </x:c>
      <x:c r="C24" s="10" t="str">
        <x:v>P1</x:v>
      </x:c>
      <x:c r="D24" s="10" t="str">
        <x:v>Tracking online</x:v>
      </x:c>
      <x:c r="E24" s="10" t="str">
        <x:v>G1</x:v>
      </x:c>
      <x:c r="F24" s="10" t="str">
        <x:v>WS-B</x:v>
      </x:c>
      <x:c r="G24" s="10" t="str">
        <x:v>Order/collect weapon platform, paint, microswitch, wire, pogo breakout, ballast</x:v>
      </x:c>
      <x:c r="H24" s="10" t="str"/>
      <x:c r="I24" s="10" t="str">
        <x:v>G0 passed and tracking hardware available</x:v>
      </x:c>
      <x:c r="J24" s="10" t="str">
        <x:v>P1.11</x:v>
      </x:c>
      <x:c r="K24" s="10" t="str"/>
      <x:c r="L24" s="10" t="str">
        <x:v>Acceptance criteria and required evidence are satisfied and recorded.</x:v>
      </x:c>
      <x:c r="M24" s="10" t="str">
        <x:v>Acceptance criteria and required evidence are satisfied and recorded.</x:v>
      </x:c>
      <x:c r="N24" s="10" t="str">
        <x:v>Code, documentation, test evidence, or lab evidence named in the task</x:v>
      </x:c>
      <x:c r="O24" s="10" t="str">
        <x:v>Fabricator and investigator</x:v>
      </x:c>
      <x:c r="P24" s="10" t="str">
        <x:v>lab_hardware</x:v>
      </x:c>
      <x:c r="Q24" s="10" t="str">
        <x:v>Tracking and fabrication</x:v>
      </x:c>
      <x:c r="R24" s="10" t="str">
        <x:v>not_started</x:v>
      </x:c>
      <x:c r="S24" s="10" t="str">
        <x:f>IF(COUNTIFS('Atomic Steps'!$C$6:$C$248,B24,'Atomic Steps'!$N$6:$N$248,"blocked")&gt;0,"blocked",IF(COUNTIFS('Atomic Steps'!$C$6:$C$248,B24,'Atomic Steps'!$N$6:$N$248,"in_progress")&gt;0,"in_progress",IF(COUNTIFS('Atomic Steps'!$C$6:$C$248,B24,'Atomic Steps'!$N$6:$N$248,"verification_pending")&gt;0,"verification_pending",IF(COUNTIFS('Atomic Steps'!$C$6:$C$248,B24,'Atomic Steps'!$N$6:$N$248,"done")=COUNTIF('Atomic Steps'!$C$6:$C$248,B24),"done",IF(COUNTIFS('Atomic Steps'!$C$6:$C$248,B24,'Atomic Steps'!$N$6:$N$248,"ready")&gt;0,"ready","not_started")))))</x:f>
        <x:v>not_started</x:v>
      </x:c>
      <x:c r="T24" s="10" t="str"/>
      <x:c r="U24" s="10" t="str"/>
      <x:c r="V24" s="10" t="str"/>
      <x:c r="W24" s="10" t="str">
        <x:v>ELTS Build Plan P1.12</x:v>
      </x:c>
    </x:row>
    <x:row r="25">
      <x:c r="A25" s="34" t="n">
        <x:v>20</x:v>
      </x:c>
      <x:c r="B25" s="34" t="str">
        <x:v>P1.13</x:v>
      </x:c>
      <x:c r="C25" s="34" t="str">
        <x:v>P1</x:v>
      </x:c>
      <x:c r="D25" s="34" t="str">
        <x:v>Tracking online</x:v>
      </x:c>
      <x:c r="E25" s="34" t="str">
        <x:v>G1</x:v>
      </x:c>
      <x:c r="F25" s="34" t="str">
        <x:v>WS-B</x:v>
      </x:c>
      <x:c r="G25" s="34" t="str">
        <x:v>Design and print the tracker cradle</x:v>
      </x:c>
      <x:c r="H25" s="34" t="str">
        <x:v>(rail-mounted, with pogo-pin board recess) and the headband forehead plate (§13.1–13.2). Print the pivot probe (§13.3) and make the corner rods (§13.5) — the rods are needed at Phase 3. Iterate fit with the real tracker.</x:v>
      </x:c>
      <x:c r="I25" s="34" t="str">
        <x:v>G0 passed and tracking hardware available</x:v>
      </x:c>
      <x:c r="J25" s="34" t="str">
        <x:v>P1.12</x:v>
      </x:c>
      <x:c r="K25" s="34" t="str"/>
      <x:c r="L25" s="34" t="str">
        <x:v>Acceptance criteria and required evidence are satisfied and recorded.</x:v>
      </x:c>
      <x:c r="M25" s="34" t="str">
        <x:v>Acceptance criteria and required evidence are satisfied and recorded.</x:v>
      </x:c>
      <x:c r="N25" s="34" t="str">
        <x:v>Code, documentation, test evidence, or lab evidence named in the task</x:v>
      </x:c>
      <x:c r="O25" s="34" t="str">
        <x:v>Fabricator and investigator</x:v>
      </x:c>
      <x:c r="P25" s="34" t="str">
        <x:v>lab_hardware</x:v>
      </x:c>
      <x:c r="Q25" s="34" t="str">
        <x:v>Tracking and fabrication</x:v>
      </x:c>
      <x:c r="R25" s="34" t="str">
        <x:v>not_started</x:v>
      </x:c>
      <x:c r="S25" s="34" t="str">
        <x:f>IF(COUNTIFS('Atomic Steps'!$C$6:$C$248,B25,'Atomic Steps'!$N$6:$N$248,"blocked")&gt;0,"blocked",IF(COUNTIFS('Atomic Steps'!$C$6:$C$248,B25,'Atomic Steps'!$N$6:$N$248,"in_progress")&gt;0,"in_progress",IF(COUNTIFS('Atomic Steps'!$C$6:$C$248,B25,'Atomic Steps'!$N$6:$N$248,"verification_pending")&gt;0,"verification_pending",IF(COUNTIFS('Atomic Steps'!$C$6:$C$248,B25,'Atomic Steps'!$N$6:$N$248,"done")=COUNTIF('Atomic Steps'!$C$6:$C$248,B25),"done",IF(COUNTIFS('Atomic Steps'!$C$6:$C$248,B25,'Atomic Steps'!$N$6:$N$248,"ready")&gt;0,"ready","not_started")))))</x:f>
        <x:v>not_started</x:v>
      </x:c>
      <x:c r="T25" s="34" t="str"/>
      <x:c r="U25" s="34" t="str"/>
      <x:c r="V25" s="34" t="str"/>
      <x:c r="W25" s="34" t="str">
        <x:v>ELTS Build Plan P1.13</x:v>
      </x:c>
    </x:row>
    <x:row r="26">
      <x:c r="A26" s="10" t="n">
        <x:v>21</x:v>
      </x:c>
      <x:c r="B26" s="10" t="str">
        <x:v>P1.14</x:v>
      </x:c>
      <x:c r="C26" s="10" t="str">
        <x:v>P1</x:v>
      </x:c>
      <x:c r="D26" s="10" t="str">
        <x:v>Tracking online</x:v>
      </x:c>
      <x:c r="E26" s="10" t="str">
        <x:v>G1</x:v>
      </x:c>
      <x:c r="F26" s="10" t="str">
        <x:v>WS-B</x:v>
      </x:c>
      <x:c r="G26" s="10" t="str">
        <x:v>Build the headband mount first</x:v>
      </x:c>
      <x:c r="H26" s="10" t="str">
        <x:v>(it is needed at Phase 3; the weapon is not needed until Phase 5). Perform the rigidity test in §13.2.</x:v>
      </x:c>
      <x:c r="I26" s="10" t="str">
        <x:v>G0 passed and tracking hardware available</x:v>
      </x:c>
      <x:c r="J26" s="10" t="str">
        <x:v>P1.13</x:v>
      </x:c>
      <x:c r="K26" s="10" t="str"/>
      <x:c r="L26" s="10" t="str">
        <x:v>Acceptance criteria and required evidence are satisfied and recorded.</x:v>
      </x:c>
      <x:c r="M26" s="10" t="str">
        <x:v>Acceptance criteria and required evidence are satisfied and recorded.</x:v>
      </x:c>
      <x:c r="N26" s="10" t="str">
        <x:v>Code, documentation, test evidence, or lab evidence named in the task</x:v>
      </x:c>
      <x:c r="O26" s="10" t="str">
        <x:v>Fabricator and investigator</x:v>
      </x:c>
      <x:c r="P26" s="10" t="str">
        <x:v>lab_hardware</x:v>
      </x:c>
      <x:c r="Q26" s="10" t="str">
        <x:v>Tracking and fabrication</x:v>
      </x:c>
      <x:c r="R26" s="10" t="str">
        <x:v>not_started</x:v>
      </x:c>
      <x:c r="S26" s="10" t="str">
        <x:f>IF(COUNTIFS('Atomic Steps'!$C$6:$C$248,B26,'Atomic Steps'!$N$6:$N$248,"blocked")&gt;0,"blocked",IF(COUNTIFS('Atomic Steps'!$C$6:$C$248,B26,'Atomic Steps'!$N$6:$N$248,"in_progress")&gt;0,"in_progress",IF(COUNTIFS('Atomic Steps'!$C$6:$C$248,B26,'Atomic Steps'!$N$6:$N$248,"verification_pending")&gt;0,"verification_pending",IF(COUNTIFS('Atomic Steps'!$C$6:$C$248,B26,'Atomic Steps'!$N$6:$N$248,"done")=COUNTIF('Atomic Steps'!$C$6:$C$248,B26),"done",IF(COUNTIFS('Atomic Steps'!$C$6:$C$248,B26,'Atomic Steps'!$N$6:$N$248,"ready")&gt;0,"ready","not_started")))))</x:f>
        <x:v>not_started</x:v>
      </x:c>
      <x:c r="T26" s="10" t="str"/>
      <x:c r="U26" s="10" t="str"/>
      <x:c r="V26" s="10" t="str"/>
      <x:c r="W26" s="10" t="str">
        <x:v>ELTS Build Plan P1.14</x:v>
      </x:c>
    </x:row>
    <x:row r="27">
      <x:c r="A27" s="34" t="n">
        <x:v>22</x:v>
      </x:c>
      <x:c r="B27" s="34" t="str">
        <x:v>P2.1</x:v>
      </x:c>
      <x:c r="C27" s="34" t="str">
        <x:v>P2</x:v>
      </x:c>
      <x:c r="D27" s="34" t="str">
        <x:v>Core services</x:v>
      </x:c>
      <x:c r="E27" s="34" t="str">
        <x:v>G2</x:v>
      </x:c>
      <x:c r="F27" s="34" t="str">
        <x:v>WS-C</x:v>
      </x:c>
      <x:c r="G27" s="34" t="str">
        <x:v>Config loading and validation</x:v>
      </x:c>
      <x:c r="H27" s="34" t="str">
        <x:v>Implement the config files in Appendix A (rig.json, calibration_rig.json, scenario files, session template). Load at startup; validate required fields; refuse to start with a precise error message on any missing or malformed value. Compute and store a SHA-256 of each loaded file for the log headers.</x:v>
      </x:c>
      <x:c r="I27" s="34" t="str">
        <x:v>G1 passed, or G0 with synthetic tracking</x:v>
      </x:c>
      <x:c r="J27" s="34" t="str">
        <x:v>G1 or (G0 and P2.9)</x:v>
      </x:c>
      <x:c r="K27" s="34" t="str"/>
      <x:c r="L27" s="34" t="str">
        <x:v>EditMode tests cover: valid load, missing field, wrong type, bad serial format.</x:v>
      </x:c>
      <x:c r="M27" s="34" t="str">
        <x:v>EditMode tests cover: valid load, missing field, wrong type, bad serial format.</x:v>
      </x:c>
      <x:c r="N27" s="34" t="str">
        <x:v>config/, schemas/config/, tests</x:v>
      </x:c>
      <x:c r="O27" s="34" t="str">
        <x:v>Developer</x:v>
      </x:c>
      <x:c r="P27" s="34" t="str">
        <x:v>agent</x:v>
      </x:c>
      <x:c r="Q27" s="34" t="str">
        <x:v>Core software</x:v>
      </x:c>
      <x:c r="R27" s="34" t="str">
        <x:v>not_started</x:v>
      </x:c>
      <x:c r="S27" s="34" t="str">
        <x:f>IF(COUNTIFS('Atomic Steps'!$C$6:$C$248,B27,'Atomic Steps'!$N$6:$N$248,"blocked")&gt;0,"blocked",IF(COUNTIFS('Atomic Steps'!$C$6:$C$248,B27,'Atomic Steps'!$N$6:$N$248,"in_progress")&gt;0,"in_progress",IF(COUNTIFS('Atomic Steps'!$C$6:$C$248,B27,'Atomic Steps'!$N$6:$N$248,"verification_pending")&gt;0,"verification_pending",IF(COUNTIFS('Atomic Steps'!$C$6:$C$248,B27,'Atomic Steps'!$N$6:$N$248,"done")=COUNTIF('Atomic Steps'!$C$6:$C$248,B27),"done",IF(COUNTIFS('Atomic Steps'!$C$6:$C$248,B27,'Atomic Steps'!$N$6:$N$248,"ready")&gt;0,"ready","not_started")))))</x:f>
        <x:v>not_started</x:v>
      </x:c>
      <x:c r="T27" s="34" t="str"/>
      <x:c r="U27" s="34" t="str"/>
      <x:c r="V27" s="34" t="str"/>
      <x:c r="W27" s="34" t="str">
        <x:v>ELTS Build Plan P2.1</x:v>
      </x:c>
    </x:row>
    <x:row r="28">
      <x:c r="A28" s="10" t="n">
        <x:v>23</x:v>
      </x:c>
      <x:c r="B28" s="10" t="str">
        <x:v>P2.2</x:v>
      </x:c>
      <x:c r="C28" s="10" t="str">
        <x:v>P2</x:v>
      </x:c>
      <x:c r="D28" s="10" t="str">
        <x:v>Core services</x:v>
      </x:c>
      <x:c r="E28" s="10" t="str">
        <x:v>G2</x:v>
      </x:c>
      <x:c r="F28" s="10" t="str">
        <x:v>WS-C</x:v>
      </x:c>
      <x:c r="G28" s="10" t="str">
        <x:v>Shared clock</x:v>
      </x:c>
      <x:c r="H28" s="10" t="str">
        <x:v>Clock singleton wrapping System.Diagnostics.Stopwatch, started in the first line of application startup, exposing Now as seconds (double). Also records the UTC wall-clock at start (for D-12 cross-device alignment). No other time source is permitted anywhere in the codebase — enforce with a code-review rule and a grep in CI for Time.time, DateTime.Now, Time.realtimeSinceStartup outside Clock (durations such as Time.deltaTime are fine; the rule is about timestamps).</x:v>
      </x:c>
      <x:c r="I28" s="10" t="str">
        <x:v>G1 passed, or G0 with synthetic tracking</x:v>
      </x:c>
      <x:c r="J28" s="10" t="str">
        <x:v>P2.1</x:v>
      </x:c>
      <x:c r="K28" s="10" t="str">
        <x:v>D-12</x:v>
      </x:c>
      <x:c r="L28" s="10" t="str">
        <x:v>CI grep passes; Clock.Now used by tracking, logging, session, and ELTS link.</x:v>
      </x:c>
      <x:c r="M28" s="10" t="str">
        <x:v>CI grep passes; Clock.Now used by tracking, logging, session, and ELTS link.</x:v>
      </x:c>
      <x:c r="N28" s="10" t="str">
        <x:v>unity core clock and policy check</x:v>
      </x:c>
      <x:c r="O28" s="10" t="str">
        <x:v>Developer</x:v>
      </x:c>
      <x:c r="P28" s="10" t="str">
        <x:v>agent</x:v>
      </x:c>
      <x:c r="Q28" s="10" t="str">
        <x:v>Core software</x:v>
      </x:c>
      <x:c r="R28" s="10" t="str">
        <x:v>not_started</x:v>
      </x:c>
      <x:c r="S28" s="10" t="str">
        <x:f>IF(COUNTIFS('Atomic Steps'!$C$6:$C$248,B28,'Atomic Steps'!$N$6:$N$248,"blocked")&gt;0,"blocked",IF(COUNTIFS('Atomic Steps'!$C$6:$C$248,B28,'Atomic Steps'!$N$6:$N$248,"in_progress")&gt;0,"in_progress",IF(COUNTIFS('Atomic Steps'!$C$6:$C$248,B28,'Atomic Steps'!$N$6:$N$248,"verification_pending")&gt;0,"verification_pending",IF(COUNTIFS('Atomic Steps'!$C$6:$C$248,B28,'Atomic Steps'!$N$6:$N$248,"done")=COUNTIF('Atomic Steps'!$C$6:$C$248,B28),"done",IF(COUNTIFS('Atomic Steps'!$C$6:$C$248,B28,'Atomic Steps'!$N$6:$N$248,"ready")&gt;0,"ready","not_started")))))</x:f>
        <x:v>not_started</x:v>
      </x:c>
      <x:c r="T28" s="10" t="str"/>
      <x:c r="U28" s="10" t="str"/>
      <x:c r="V28" s="10" t="str"/>
      <x:c r="W28" s="10" t="str">
        <x:v>ELTS Build Plan P2.2</x:v>
      </x:c>
    </x:row>
    <x:row r="29">
      <x:c r="A29" s="34" t="n">
        <x:v>24</x:v>
      </x:c>
      <x:c r="B29" s="34" t="str">
        <x:v>P2.3</x:v>
      </x:c>
      <x:c r="C29" s="34" t="str">
        <x:v>P2</x:v>
      </x:c>
      <x:c r="D29" s="34" t="str">
        <x:v>Core services</x:v>
      </x:c>
      <x:c r="E29" s="34" t="str">
        <x:v>G2</x:v>
      </x:c>
      <x:c r="F29" s="34" t="str">
        <x:v>WS-A, WS-C</x:v>
      </x:c>
      <x:c r="G29" s="34" t="str">
        <x:v>Tracking service</x:v>
      </x:c>
      <x:c r="H29" s="34" t="str">
        <x:v>Productionize the P1.5–P1.9 spikes into TrackingService:
Dedicated thread, 250 Hz (rate in config), polling pose + controller state for both bound devices with 0 s prediction in the universe chosen at P1.7.
Handedness conversion applied exactly once, here.
Per device: position, quaternion, valid, connected, trackingResult, and for WEAPON the trigger state.
Trigger edge detector: on falling edge, record Clock.Now as the shot time, emit a Shot request, lock out further edges for 20 ms (config).
Publishes the latest sample to the main thread through a lock-free double buffer; publishes every sample to the logging ring buffer.
Separate optional "rendering head pose" with configurable small prediction (default 0 s until tuned in P3.6); never enters the log.
Rebinding on device activate/deactivate events; a device that is not bound reports connected = false.</x:v>
      </x:c>
      <x:c r="I29" s="34" t="str">
        <x:v>G1 passed, or G0 with synthetic tracking</x:v>
      </x:c>
      <x:c r="J29" s="34" t="str">
        <x:v>P1.5, P1.6, P1.7, P1.8, P1.9, P2.1, P2.2</x:v>
      </x:c>
      <x:c r="K29" s="34" t="str"/>
      <x:c r="L29" s="34" t="str">
        <x:v>PlayMode test with the synthetic source shows correct edge timing and lockout; real-tracker run shows all flags.</x:v>
      </x:c>
      <x:c r="M29" s="34" t="str">
        <x:v>PlayMode test with the synthetic source shows correct edge timing and lockout; real-tracker run shows all flags.</x:v>
      </x:c>
      <x:c r="N29" s="34" t="str">
        <x:v>unity tracking service and tests</x:v>
      </x:c>
      <x:c r="O29" s="34" t="str">
        <x:v>Developer</x:v>
      </x:c>
      <x:c r="P29" s="34" t="str">
        <x:v>agent</x:v>
      </x:c>
      <x:c r="Q29" s="34" t="str">
        <x:v>Core software</x:v>
      </x:c>
      <x:c r="R29" s="34" t="str">
        <x:v>not_started</x:v>
      </x:c>
      <x:c r="S29" s="34" t="str">
        <x:f>IF(COUNTIFS('Atomic Steps'!$C$6:$C$248,B29,'Atomic Steps'!$N$6:$N$248,"blocked")&gt;0,"blocked",IF(COUNTIFS('Atomic Steps'!$C$6:$C$248,B29,'Atomic Steps'!$N$6:$N$248,"in_progress")&gt;0,"in_progress",IF(COUNTIFS('Atomic Steps'!$C$6:$C$248,B29,'Atomic Steps'!$N$6:$N$248,"verification_pending")&gt;0,"verification_pending",IF(COUNTIFS('Atomic Steps'!$C$6:$C$248,B29,'Atomic Steps'!$N$6:$N$248,"done")=COUNTIF('Atomic Steps'!$C$6:$C$248,B29),"done",IF(COUNTIFS('Atomic Steps'!$C$6:$C$248,B29,'Atomic Steps'!$N$6:$N$248,"ready")&gt;0,"ready","not_started")))))</x:f>
        <x:v>not_started</x:v>
      </x:c>
      <x:c r="T29" s="34" t="str"/>
      <x:c r="U29" s="34" t="str"/>
      <x:c r="V29" s="34" t="str"/>
      <x:c r="W29" s="34" t="str">
        <x:v>ELTS Build Plan P2.3</x:v>
      </x:c>
    </x:row>
    <x:row r="30">
      <x:c r="A30" s="10" t="n">
        <x:v>25</x:v>
      </x:c>
      <x:c r="B30" s="10" t="str">
        <x:v>P2.4</x:v>
      </x:c>
      <x:c r="C30" s="10" t="str">
        <x:v>P2</x:v>
      </x:c>
      <x:c r="D30" s="10" t="str">
        <x:v>Core services</x:v>
      </x:c>
      <x:c r="E30" s="10" t="str">
        <x:v>G2</x:v>
      </x:c>
      <x:c r="F30" s="10" t="str">
        <x:v>WS-C</x:v>
      </x:c>
      <x:c r="G30" s="10" t="str">
        <x:v>Geometry library (pure C#, no UnityEngine types)</x:v>
      </x:c>
      <x:c r="H30" s="10" t="str">
        <x:v>ScreenPlane (O, U, V; N; intersection returning t, P, u, v, onScreen), BoreRay (origin, direction from weapon pose + muzzle offset + zero correction + bore direction, exactly as §5.4), AimError (degrees, via atan2(|cross|, dot) for numerical stability), EyePosition (head pose + eye offset), Visibility (is a world point inside the eye-to-corner frustum), analytic ray–sphere and ray–capsule intersection for the default hit test. Vector/quaternion structs in float for geometry, double for all timestamps.</x:v>
      </x:c>
      <x:c r="I30" s="10" t="str">
        <x:v>G1 passed, or G0 with synthetic tracking</x:v>
      </x:c>
      <x:c r="J30" s="10" t="str">
        <x:v>P2.1</x:v>
      </x:c>
      <x:c r="K30" s="10" t="str"/>
      <x:c r="L30" s="10" t="str">
        <x:v>EditMode tests: intersection against known planes; onScreen edge cases; t &lt;= 0 and near-parallel rejection; aim error against hand-computed cases including off-screen; frustum visibility at corners.</x:v>
      </x:c>
      <x:c r="M30" s="10" t="str">
        <x:v>EditMode tests: intersection against known planes; onScreen edge cases; t &lt;= 0 and near-parallel rejection; aim error against hand-computed cases including off-screen; frustum visibility at corners.</x:v>
      </x:c>
      <x:c r="N30" s="10" t="str">
        <x:v>pure C# geometry library and tests</x:v>
      </x:c>
      <x:c r="O30" s="10" t="str">
        <x:v>Developer</x:v>
      </x:c>
      <x:c r="P30" s="10" t="str">
        <x:v>agent</x:v>
      </x:c>
      <x:c r="Q30" s="10" t="str">
        <x:v>Core software</x:v>
      </x:c>
      <x:c r="R30" s="10" t="str">
        <x:v>not_started</x:v>
      </x:c>
      <x:c r="S30" s="10" t="str">
        <x:f>IF(COUNTIFS('Atomic Steps'!$C$6:$C$248,B30,'Atomic Steps'!$N$6:$N$248,"blocked")&gt;0,"blocked",IF(COUNTIFS('Atomic Steps'!$C$6:$C$248,B30,'Atomic Steps'!$N$6:$N$248,"in_progress")&gt;0,"in_progress",IF(COUNTIFS('Atomic Steps'!$C$6:$C$248,B30,'Atomic Steps'!$N$6:$N$248,"verification_pending")&gt;0,"verification_pending",IF(COUNTIFS('Atomic Steps'!$C$6:$C$248,B30,'Atomic Steps'!$N$6:$N$248,"done")=COUNTIF('Atomic Steps'!$C$6:$C$248,B30),"done",IF(COUNTIFS('Atomic Steps'!$C$6:$C$248,B30,'Atomic Steps'!$N$6:$N$248,"ready")&gt;0,"ready","not_started")))))</x:f>
        <x:v>not_started</x:v>
      </x:c>
      <x:c r="T30" s="10" t="str"/>
      <x:c r="U30" s="10" t="str"/>
      <x:c r="V30" s="10" t="str"/>
      <x:c r="W30" s="10" t="str">
        <x:v>ELTS Build Plan P2.4</x:v>
      </x:c>
    </x:row>
    <x:row r="31">
      <x:c r="A31" s="34" t="n">
        <x:v>26</x:v>
      </x:c>
      <x:c r="B31" s="34" t="str">
        <x:v>P2.5</x:v>
      </x:c>
      <x:c r="C31" s="34" t="str">
        <x:v>P2</x:v>
      </x:c>
      <x:c r="D31" s="34" t="str">
        <x:v>Core services</x:v>
      </x:c>
      <x:c r="E31" s="34" t="str">
        <x:v>G2</x:v>
      </x:c>
      <x:c r="F31" s="34" t="str">
        <x:v>WS-C</x:v>
      </x:c>
      <x:c r="G31" s="34" t="str">
        <x:v>Logging pipeline</x:v>
      </x:c>
      <x:c r="H31" s="34" t="str">
        <x:v>As specified in §6.4 and Appendix B:
Lock-free single-producer/single-consumer ring buffer of fixed-size sample structs (no allocation per sample). Sequence number on every sample; the consumer detects gaps and writes a SampleDropped event with the count.
Writer thread flushes to CSV every N ms (config, default 250 ms) using a pre-sized StringBuilder; fsync at block end.
Three streams per block: samples.csv (250 Hz), targets.csv (once per rendered frame, one row per active target), events.csv. One session.json per participant.
Every file starts with a #-prefixed header block: app version, git hash, config hashes, participant ID, block index, condition, order position, UTC at clock start, coordinate convention, schema version.
Directory layout: data/P{id}/block{n}_{cond}/…. Never overwrite: if a path exists, append a _r{k} suffix and log a RerunDetected event.</x:v>
      </x:c>
      <x:c r="I31" s="34" t="str">
        <x:v>G1 passed, or G0 with synthetic tracking</x:v>
      </x:c>
      <x:c r="J31" s="34" t="str">
        <x:v>P2.2, P2.3</x:v>
      </x:c>
      <x:c r="K31" s="34" t="str"/>
      <x:c r="L31" s="34" t="str">
        <x:v>30-minute soak with the synthetic source at 250 Hz shows zero drops, files parse with the ingest script (P2.8), and the file sizes are as predicted.</x:v>
      </x:c>
      <x:c r="M31" s="34" t="str">
        <x:v>30-minute soak with the synthetic source at 250 Hz shows zero drops, files parse with the ingest script (P2.8), and the file sizes are as predicted.</x:v>
      </x:c>
      <x:c r="N31" s="34" t="str">
        <x:v>logging pipeline and soak evidence</x:v>
      </x:c>
      <x:c r="O31" s="34" t="str">
        <x:v>Developer</x:v>
      </x:c>
      <x:c r="P31" s="34" t="str">
        <x:v>agent</x:v>
      </x:c>
      <x:c r="Q31" s="34" t="str">
        <x:v>Core software</x:v>
      </x:c>
      <x:c r="R31" s="34" t="str">
        <x:v>not_started</x:v>
      </x:c>
      <x:c r="S31" s="34" t="str">
        <x:f>IF(COUNTIFS('Atomic Steps'!$C$6:$C$248,B31,'Atomic Steps'!$N$6:$N$248,"blocked")&gt;0,"blocked",IF(COUNTIFS('Atomic Steps'!$C$6:$C$248,B31,'Atomic Steps'!$N$6:$N$248,"in_progress")&gt;0,"in_progress",IF(COUNTIFS('Atomic Steps'!$C$6:$C$248,B31,'Atomic Steps'!$N$6:$N$248,"verification_pending")&gt;0,"verification_pending",IF(COUNTIFS('Atomic Steps'!$C$6:$C$248,B31,'Atomic Steps'!$N$6:$N$248,"done")=COUNTIF('Atomic Steps'!$C$6:$C$248,B31),"done",IF(COUNTIFS('Atomic Steps'!$C$6:$C$248,B31,'Atomic Steps'!$N$6:$N$248,"ready")&gt;0,"ready","not_started")))))</x:f>
        <x:v>not_started</x:v>
      </x:c>
      <x:c r="T31" s="34" t="str"/>
      <x:c r="U31" s="34" t="str"/>
      <x:c r="V31" s="34" t="str"/>
      <x:c r="W31" s="34" t="str">
        <x:v>ELTS Build Plan P2.5</x:v>
      </x:c>
    </x:row>
    <x:row r="32">
      <x:c r="A32" s="10" t="n">
        <x:v>27</x:v>
      </x:c>
      <x:c r="B32" s="10" t="str">
        <x:v>P2.6</x:v>
      </x:c>
      <x:c r="C32" s="10" t="str">
        <x:v>P2</x:v>
      </x:c>
      <x:c r="D32" s="10" t="str">
        <x:v>Core services</x:v>
      </x:c>
      <x:c r="E32" s="10" t="str">
        <x:v>G2</x:v>
      </x:c>
      <x:c r="F32" s="10" t="str">
        <x:v>WS-C</x:v>
      </x:c>
      <x:c r="G32" s="10" t="str">
        <x:v>Event bus</x:v>
      </x:c>
      <x:c r="H32" s="10" t="str">
        <x:v>A single typed event type (t, type, JSON payload) that every subsystem posts to and the logger consumes. Events defined in Appendix B.3. This is also what the operator UI listens to later.</x:v>
      </x:c>
      <x:c r="I32" s="10" t="str">
        <x:v>G1 passed, or G0 with synthetic tracking</x:v>
      </x:c>
      <x:c r="J32" s="10" t="str">
        <x:v>P2.2, P2.5</x:v>
      </x:c>
      <x:c r="K32" s="10" t="str"/>
      <x:c r="L32" s="10" t="str">
        <x:v>all Appendix B.3 events can be posted and appear in events.csv.</x:v>
      </x:c>
      <x:c r="M32" s="10" t="str">
        <x:v>all Appendix B.3 events can be posted and appear in events.csv.</x:v>
      </x:c>
      <x:c r="N32" s="10" t="str">
        <x:v>event types and tests</x:v>
      </x:c>
      <x:c r="O32" s="10" t="str">
        <x:v>Developer</x:v>
      </x:c>
      <x:c r="P32" s="10" t="str">
        <x:v>agent</x:v>
      </x:c>
      <x:c r="Q32" s="10" t="str">
        <x:v>Core software</x:v>
      </x:c>
      <x:c r="R32" s="10" t="str">
        <x:v>not_started</x:v>
      </x:c>
      <x:c r="S32" s="10" t="str">
        <x:f>IF(COUNTIFS('Atomic Steps'!$C$6:$C$248,B32,'Atomic Steps'!$N$6:$N$248,"blocked")&gt;0,"blocked",IF(COUNTIFS('Atomic Steps'!$C$6:$C$248,B32,'Atomic Steps'!$N$6:$N$248,"in_progress")&gt;0,"in_progress",IF(COUNTIFS('Atomic Steps'!$C$6:$C$248,B32,'Atomic Steps'!$N$6:$N$248,"verification_pending")&gt;0,"verification_pending",IF(COUNTIFS('Atomic Steps'!$C$6:$C$248,B32,'Atomic Steps'!$N$6:$N$248,"done")=COUNTIF('Atomic Steps'!$C$6:$C$248,B32),"done",IF(COUNTIFS('Atomic Steps'!$C$6:$C$248,B32,'Atomic Steps'!$N$6:$N$248,"ready")&gt;0,"ready","not_started")))))</x:f>
        <x:v>not_started</x:v>
      </x:c>
      <x:c r="T32" s="10" t="str"/>
      <x:c r="U32" s="10" t="str"/>
      <x:c r="V32" s="10" t="str"/>
      <x:c r="W32" s="10" t="str">
        <x:v>ELTS Build Plan P2.6</x:v>
      </x:c>
    </x:row>
    <x:row r="33">
      <x:c r="A33" s="34" t="n">
        <x:v>28</x:v>
      </x:c>
      <x:c r="B33" s="34" t="str">
        <x:v>P2.7</x:v>
      </x:c>
      <x:c r="C33" s="34" t="str">
        <x:v>P2</x:v>
      </x:c>
      <x:c r="D33" s="34" t="str">
        <x:v>Core services</x:v>
      </x:c>
      <x:c r="E33" s="34" t="str">
        <x:v>G2</x:v>
      </x:c>
      <x:c r="F33" s="34" t="str">
        <x:v>WS-C</x:v>
      </x:c>
      <x:c r="G33" s="34" t="str">
        <x:v>Target snapshot channel</x:v>
      </x:c>
      <x:c r="H33" s="34" t="str">
        <x:v>The main thread publishes, once per frame, an immutable snapshot of all active targets (id, world position, world velocity, radius/shape, visible flag, snapshot time). The tracking thread reads the latest snapshot to compute per-sample aim error to the "relevant target" (Appendix B.1 defines relevance as smallest angular error; the rule is a config option), extrapolating moving targets by velocity × (t − snapshotTime).</x:v>
      </x:c>
      <x:c r="I33" s="34" t="str">
        <x:v>G1 passed, or G0 with synthetic tracking</x:v>
      </x:c>
      <x:c r="J33" s="34" t="str">
        <x:v>P2.2, P2.4</x:v>
      </x:c>
      <x:c r="K33" s="34" t="str"/>
      <x:c r="L33" s="34" t="str">
        <x:v>PlayMode test with a scripted moving target shows extrapolation error &lt; 1 mm at 60 fps.</x:v>
      </x:c>
      <x:c r="M33" s="34" t="str">
        <x:v>PlayMode test with a scripted moving target shows extrapolation error &lt; 1 mm at 60 fps.</x:v>
      </x:c>
      <x:c r="N33" s="34" t="str">
        <x:v>snapshot channel and test</x:v>
      </x:c>
      <x:c r="O33" s="34" t="str">
        <x:v>Developer</x:v>
      </x:c>
      <x:c r="P33" s="34" t="str">
        <x:v>agent</x:v>
      </x:c>
      <x:c r="Q33" s="34" t="str">
        <x:v>Core software</x:v>
      </x:c>
      <x:c r="R33" s="34" t="str">
        <x:v>not_started</x:v>
      </x:c>
      <x:c r="S33" s="34" t="str">
        <x:f>IF(COUNTIFS('Atomic Steps'!$C$6:$C$248,B33,'Atomic Steps'!$N$6:$N$248,"blocked")&gt;0,"blocked",IF(COUNTIFS('Atomic Steps'!$C$6:$C$248,B33,'Atomic Steps'!$N$6:$N$248,"in_progress")&gt;0,"in_progress",IF(COUNTIFS('Atomic Steps'!$C$6:$C$248,B33,'Atomic Steps'!$N$6:$N$248,"verification_pending")&gt;0,"verification_pending",IF(COUNTIFS('Atomic Steps'!$C$6:$C$248,B33,'Atomic Steps'!$N$6:$N$248,"done")=COUNTIF('Atomic Steps'!$C$6:$C$248,B33),"done",IF(COUNTIFS('Atomic Steps'!$C$6:$C$248,B33,'Atomic Steps'!$N$6:$N$248,"ready")&gt;0,"ready","not_started")))))</x:f>
        <x:v>not_started</x:v>
      </x:c>
      <x:c r="T33" s="34" t="str"/>
      <x:c r="U33" s="34" t="str"/>
      <x:c r="V33" s="34" t="str"/>
      <x:c r="W33" s="34" t="str">
        <x:v>ELTS Build Plan P2.7</x:v>
      </x:c>
    </x:row>
    <x:row r="34">
      <x:c r="A34" s="10" t="n">
        <x:v>29</x:v>
      </x:c>
      <x:c r="B34" s="10" t="str">
        <x:v>P2.8</x:v>
      </x:c>
      <x:c r="C34" s="10" t="str">
        <x:v>P2</x:v>
      </x:c>
      <x:c r="D34" s="10" t="str">
        <x:v>Core services</x:v>
      </x:c>
      <x:c r="E34" s="10" t="str">
        <x:v>G2</x:v>
      </x:c>
      <x:c r="F34" s="10" t="str">
        <x:v>WS-C, WS-F</x:v>
      </x:c>
      <x:c r="G34" s="10" t="str">
        <x:v>Ingest script (first version)</x:v>
      </x:c>
      <x:c r="H34" s="10" t="str">
        <x:v>A Python script (tools/ingest.py) that reads a participant folder, validates headers and schema version, parses all three streams, drops invalid samples by flag, and prints per-block summaries: sample count, drop count, invalid-sample fraction per tracker, targets destroyed, mean/median aim error on valid samples, shot count. This is written now so the schema is proven before anything real depends on it.</x:v>
      </x:c>
      <x:c r="I34" s="10" t="str">
        <x:v>G1 passed, or G0 with synthetic tracking</x:v>
      </x:c>
      <x:c r="J34" s="10" t="str">
        <x:v>P2.5, P2.6</x:v>
      </x:c>
      <x:c r="K34" s="10" t="str"/>
      <x:c r="L34" s="10" t="str">
        <x:v>runs on the P2.5 soak output.</x:v>
      </x:c>
      <x:c r="M34" s="10" t="str">
        <x:v>runs on the P2.5 soak output.</x:v>
      </x:c>
      <x:c r="N34" s="10" t="str">
        <x:v>analysis ingest package and fixtures</x:v>
      </x:c>
      <x:c r="O34" s="10" t="str">
        <x:v>Developer</x:v>
      </x:c>
      <x:c r="P34" s="10" t="str">
        <x:v>agent</x:v>
      </x:c>
      <x:c r="Q34" s="10" t="str">
        <x:v>Core software</x:v>
      </x:c>
      <x:c r="R34" s="10" t="str">
        <x:v>not_started</x:v>
      </x:c>
      <x:c r="S34" s="10" t="str">
        <x:f>IF(COUNTIFS('Atomic Steps'!$C$6:$C$248,B34,'Atomic Steps'!$N$6:$N$248,"blocked")&gt;0,"blocked",IF(COUNTIFS('Atomic Steps'!$C$6:$C$248,B34,'Atomic Steps'!$N$6:$N$248,"in_progress")&gt;0,"in_progress",IF(COUNTIFS('Atomic Steps'!$C$6:$C$248,B34,'Atomic Steps'!$N$6:$N$248,"verification_pending")&gt;0,"verification_pending",IF(COUNTIFS('Atomic Steps'!$C$6:$C$248,B34,'Atomic Steps'!$N$6:$N$248,"done")=COUNTIF('Atomic Steps'!$C$6:$C$248,B34),"done",IF(COUNTIFS('Atomic Steps'!$C$6:$C$248,B34,'Atomic Steps'!$N$6:$N$248,"ready")&gt;0,"ready","not_started")))))</x:f>
        <x:v>not_started</x:v>
      </x:c>
      <x:c r="T34" s="10" t="str"/>
      <x:c r="U34" s="10" t="str"/>
      <x:c r="V34" s="10" t="str"/>
      <x:c r="W34" s="10" t="str">
        <x:v>ELTS Build Plan P2.8</x:v>
      </x:c>
    </x:row>
    <x:row r="35">
      <x:c r="A35" s="34" t="n">
        <x:v>30</x:v>
      </x:c>
      <x:c r="B35" s="34" t="str">
        <x:v>P2.9</x:v>
      </x:c>
      <x:c r="C35" s="34" t="str">
        <x:v>P2</x:v>
      </x:c>
      <x:c r="D35" s="34" t="str">
        <x:v>Core services</x:v>
      </x:c>
      <x:c r="E35" s="34" t="str">
        <x:v>G2</x:v>
      </x:c>
      <x:c r="F35" s="34" t="str">
        <x:v>WS-C</x:v>
      </x:c>
      <x:c r="G35" s="34" t="str">
        <x:v>Synthetic pose source</x:v>
      </x:c>
      <x:c r="H35" s="34" t="str">
        <x:v>An ITrackingSource implementation that generates plausible head and weapon motion (slow sway, occasional scripted dropouts, scripted trigger presses) at 250 Hz. Selected by tracking.source: "synthetic" in rig.json. Used for all tests that do not need hardware and for developing before trackers arrive.</x:v>
      </x:c>
      <x:c r="I35" s="34" t="str">
        <x:v>G1 passed, or G0 with synthetic tracking</x:v>
      </x:c>
      <x:c r="J35" s="34" t="str">
        <x:v>P2.1, P2.2</x:v>
      </x:c>
      <x:c r="K35" s="34" t="str"/>
      <x:c r="L35" s="34" t="str">
        <x:v>whole pipeline runs headless on a laptop with no SteamVR.</x:v>
      </x:c>
      <x:c r="M35" s="34" t="str">
        <x:v>whole pipeline runs headless on a laptop with no SteamVR.</x:v>
      </x:c>
      <x:c r="N35" s="34" t="str">
        <x:v>synthetic tracking source and tests</x:v>
      </x:c>
      <x:c r="O35" s="34" t="str">
        <x:v>Developer</x:v>
      </x:c>
      <x:c r="P35" s="34" t="str">
        <x:v>agent</x:v>
      </x:c>
      <x:c r="Q35" s="34" t="str">
        <x:v>Core software</x:v>
      </x:c>
      <x:c r="R35" s="34" t="str">
        <x:v>not_started</x:v>
      </x:c>
      <x:c r="S35" s="34" t="str">
        <x:f>IF(COUNTIFS('Atomic Steps'!$C$6:$C$248,B35,'Atomic Steps'!$N$6:$N$248,"blocked")&gt;0,"blocked",IF(COUNTIFS('Atomic Steps'!$C$6:$C$248,B35,'Atomic Steps'!$N$6:$N$248,"in_progress")&gt;0,"in_progress",IF(COUNTIFS('Atomic Steps'!$C$6:$C$248,B35,'Atomic Steps'!$N$6:$N$248,"verification_pending")&gt;0,"verification_pending",IF(COUNTIFS('Atomic Steps'!$C$6:$C$248,B35,'Atomic Steps'!$N$6:$N$248,"done")=COUNTIF('Atomic Steps'!$C$6:$C$248,B35),"done",IF(COUNTIFS('Atomic Steps'!$C$6:$C$248,B35,'Atomic Steps'!$N$6:$N$248,"ready")&gt;0,"ready","not_started")))))</x:f>
        <x:v>not_started</x:v>
      </x:c>
      <x:c r="T35" s="34" t="str"/>
      <x:c r="U35" s="34" t="str"/>
      <x:c r="V35" s="34" t="str"/>
      <x:c r="W35" s="34" t="str">
        <x:v>ELTS Build Plan P2.9</x:v>
      </x:c>
    </x:row>
    <x:row r="36">
      <x:c r="A36" s="10" t="n">
        <x:v>31</x:v>
      </x:c>
      <x:c r="B36" s="10" t="str">
        <x:v>P3.1</x:v>
      </x:c>
      <x:c r="C36" s="10" t="str">
        <x:v>P3</x:v>
      </x:c>
      <x:c r="D36" s="10" t="str">
        <x:v>Rendering</x:v>
      </x:c>
      <x:c r="E36" s="10" t="str">
        <x:v>G3</x:v>
      </x:c>
      <x:c r="F36" s="10" t="str">
        <x:v>WS-C, WS-E</x:v>
      </x:c>
      <x:c r="G36" s="10" t="str">
        <x:v>Interim screen plane</x:v>
      </x:c>
      <x:c r="H36" s="10" t="str">
        <x:v>Until the corner-probe wizard exists (Phase 5), enter O, U, V into calibration_rig.json from tape-measure measurements of the interim display in the tracking frame (put a tracker at the top-left corner and read its position; repeat for the other two corners). Crude, but sufficient to develop against.</x:v>
      </x:c>
      <x:c r="I36" s="10" t="str">
        <x:v>G2 passed, P1.14 complete, any display available</x:v>
      </x:c>
      <x:c r="J36" s="10" t="str">
        <x:v>G2, P1.14</x:v>
      </x:c>
      <x:c r="K36" s="10" t="str"/>
      <x:c r="L36" s="10" t="str">
        <x:v>ScreenPlane loaded and drawn in the operator view at roughly the right place.</x:v>
      </x:c>
      <x:c r="M36" s="10" t="str">
        <x:v>ScreenPlane loaded and drawn in the operator view at roughly the right place.</x:v>
      </x:c>
      <x:c r="N36" s="10" t="str">
        <x:v>rig calibration development config</x:v>
      </x:c>
      <x:c r="O36" s="10" t="str">
        <x:v>Developer</x:v>
      </x:c>
      <x:c r="P36" s="10" t="str">
        <x:v>agent</x:v>
      </x:c>
      <x:c r="Q36" s="10" t="str">
        <x:v>Unity rendering</x:v>
      </x:c>
      <x:c r="R36" s="10" t="str">
        <x:v>not_started</x:v>
      </x:c>
      <x:c r="S36" s="10" t="str">
        <x:f>IF(COUNTIFS('Atomic Steps'!$C$6:$C$248,B36,'Atomic Steps'!$N$6:$N$248,"blocked")&gt;0,"blocked",IF(COUNTIFS('Atomic Steps'!$C$6:$C$248,B36,'Atomic Steps'!$N$6:$N$248,"in_progress")&gt;0,"in_progress",IF(COUNTIFS('Atomic Steps'!$C$6:$C$248,B36,'Atomic Steps'!$N$6:$N$248,"verification_pending")&gt;0,"verification_pending",IF(COUNTIFS('Atomic Steps'!$C$6:$C$248,B36,'Atomic Steps'!$N$6:$N$248,"done")=COUNTIF('Atomic Steps'!$C$6:$C$248,B36),"done",IF(COUNTIFS('Atomic Steps'!$C$6:$C$248,B36,'Atomic Steps'!$N$6:$N$248,"ready")&gt;0,"ready","not_started")))))</x:f>
        <x:v>not_started</x:v>
      </x:c>
      <x:c r="T36" s="10" t="str"/>
      <x:c r="U36" s="10" t="str"/>
      <x:c r="V36" s="10" t="str"/>
      <x:c r="W36" s="10" t="str">
        <x:v>ELTS Build Plan P3.1</x:v>
      </x:c>
    </x:row>
    <x:row r="37">
      <x:c r="A37" s="34" t="n">
        <x:v>32</x:v>
      </x:c>
      <x:c r="B37" s="34" t="str">
        <x:v>P3.2</x:v>
      </x:c>
      <x:c r="C37" s="34" t="str">
        <x:v>P3</x:v>
      </x:c>
      <x:c r="D37" s="34" t="str">
        <x:v>Rendering</x:v>
      </x:c>
      <x:c r="E37" s="34" t="str">
        <x:v>G3</x:v>
      </x:c>
      <x:c r="F37" s="34" t="str">
        <x:v>WS-C, WS-E</x:v>
      </x:c>
      <x:c r="G37" s="34" t="str">
        <x:v>Off-axis stimulus camera</x:v>
      </x:c>
      <x:c r="H37" s="34" t="str">
        <x:v>OffAxisCamera component: each LateUpdate, read the rendering head pose, compute the eye position (head pose + eye offset — hand-measured per Appendix C.4 and typed into calibration.json until the Phase 5 wizard exists), compute the generalized perspective projection from the eye and the three screen corners (Appendix F.2), set camera.projectionMatrix, position the camera at the eye and orient it toward the screen. Near plane = distance to screen minus a margin (config); far plane from config.
Unit test (mandatory, Appendix F.2.1): for random eye positions, the three physical corners must project to NDC (−1,−1), (1,−1), (−1,1). Sign errors in transcribing the projection are the most common failure here; the test is the arbiter, not the transcription.
Assigned to the participant display index from local.json (P1.10), rendering only the stimulus layer.</x:v>
      </x:c>
      <x:c r="I37" s="34" t="str">
        <x:v>G2 passed, P1.14 complete, any display available</x:v>
      </x:c>
      <x:c r="J37" s="34" t="str">
        <x:v>P2.3, P2.4, P3.1</x:v>
      </x:c>
      <x:c r="K37" s="34" t="str"/>
      <x:c r="L37" s="34" t="str">
        <x:v>unit test passes; moving the head tracker visibly shifts the perspective on the display.</x:v>
      </x:c>
      <x:c r="M37" s="34" t="str">
        <x:v>unit test passes; moving the head tracker visibly shifts the perspective on the display.</x:v>
      </x:c>
      <x:c r="N37" s="34" t="str">
        <x:v>off-axis camera and projection tests</x:v>
      </x:c>
      <x:c r="O37" s="34" t="str">
        <x:v>Developer</x:v>
      </x:c>
      <x:c r="P37" s="34" t="str">
        <x:v>agent</x:v>
      </x:c>
      <x:c r="Q37" s="34" t="str">
        <x:v>Unity rendering</x:v>
      </x:c>
      <x:c r="R37" s="34" t="str">
        <x:v>not_started</x:v>
      </x:c>
      <x:c r="S37" s="34" t="str">
        <x:f>IF(COUNTIFS('Atomic Steps'!$C$6:$C$248,B37,'Atomic Steps'!$N$6:$N$248,"blocked")&gt;0,"blocked",IF(COUNTIFS('Atomic Steps'!$C$6:$C$248,B37,'Atomic Steps'!$N$6:$N$248,"in_progress")&gt;0,"in_progress",IF(COUNTIFS('Atomic Steps'!$C$6:$C$248,B37,'Atomic Steps'!$N$6:$N$248,"verification_pending")&gt;0,"verification_pending",IF(COUNTIFS('Atomic Steps'!$C$6:$C$248,B37,'Atomic Steps'!$N$6:$N$248,"done")=COUNTIF('Atomic Steps'!$C$6:$C$248,B37),"done",IF(COUNTIFS('Atomic Steps'!$C$6:$C$248,B37,'Atomic Steps'!$N$6:$N$248,"ready")&gt;0,"ready","not_started")))))</x:f>
        <x:v>not_started</x:v>
      </x:c>
      <x:c r="T37" s="34" t="str"/>
      <x:c r="U37" s="34" t="str"/>
      <x:c r="V37" s="34" t="str"/>
      <x:c r="W37" s="34" t="str">
        <x:v>ELTS Build Plan P3.2</x:v>
      </x:c>
    </x:row>
    <x:row r="38">
      <x:c r="A38" s="10" t="n">
        <x:v>33</x:v>
      </x:c>
      <x:c r="B38" s="10" t="str">
        <x:v>P3.3</x:v>
      </x:c>
      <x:c r="C38" s="10" t="str">
        <x:v>P3</x:v>
      </x:c>
      <x:c r="D38" s="10" t="str">
        <x:v>Rendering</x:v>
      </x:c>
      <x:c r="E38" s="10" t="str">
        <x:v>G3</x:v>
      </x:c>
      <x:c r="F38" s="10" t="str">
        <x:v>WS-C, WS-E</x:v>
      </x:c>
      <x:c r="G38" s="10" t="str">
        <x:v>Virtual room and corner rods</x:v>
      </x:c>
      <x:c r="H38" s="10" t="str">
        <x:v>A low-detail virtual room behind the display plane at true scale (floor grid, back wall at a config distance, a few reference posts). Render virtual rods projecting perpendicular from each display corner, matching physical rods mounted on the display (§13.5, §5.5 "validation trick").</x:v>
      </x:c>
      <x:c r="I38" s="10" t="str">
        <x:v>G2 passed, P1.14 complete, any display available</x:v>
      </x:c>
      <x:c r="J38" s="10" t="str">
        <x:v>P3.2, P1.13</x:v>
      </x:c>
      <x:c r="K38" s="10" t="str"/>
      <x:c r="L38" s="10" t="str">
        <x:v>from three viewing positions (center, 45° left, low), the virtual rods visually continue the physical rods.</x:v>
      </x:c>
      <x:c r="M38" s="10" t="str">
        <x:v>from three viewing positions (center, 45° left, low), the virtual rods visually continue the physical rods.</x:v>
      </x:c>
      <x:c r="N38" s="10" t="str">
        <x:v>virtual room and corner-rod evidence</x:v>
      </x:c>
      <x:c r="O38" s="10" t="str">
        <x:v>Developer</x:v>
      </x:c>
      <x:c r="P38" s="10" t="str">
        <x:v>agent</x:v>
      </x:c>
      <x:c r="Q38" s="10" t="str">
        <x:v>Unity rendering</x:v>
      </x:c>
      <x:c r="R38" s="10" t="str">
        <x:v>not_started</x:v>
      </x:c>
      <x:c r="S38" s="10" t="str">
        <x:f>IF(COUNTIFS('Atomic Steps'!$C$6:$C$248,B38,'Atomic Steps'!$N$6:$N$248,"blocked")&gt;0,"blocked",IF(COUNTIFS('Atomic Steps'!$C$6:$C$248,B38,'Atomic Steps'!$N$6:$N$248,"in_progress")&gt;0,"in_progress",IF(COUNTIFS('Atomic Steps'!$C$6:$C$248,B38,'Atomic Steps'!$N$6:$N$248,"verification_pending")&gt;0,"verification_pending",IF(COUNTIFS('Atomic Steps'!$C$6:$C$248,B38,'Atomic Steps'!$N$6:$N$248,"done")=COUNTIF('Atomic Steps'!$C$6:$C$248,B38),"done",IF(COUNTIFS('Atomic Steps'!$C$6:$C$248,B38,'Atomic Steps'!$N$6:$N$248,"ready")&gt;0,"ready","not_started")))))</x:f>
        <x:v>not_started</x:v>
      </x:c>
      <x:c r="T38" s="10" t="str"/>
      <x:c r="U38" s="10" t="str"/>
      <x:c r="V38" s="10" t="str"/>
      <x:c r="W38" s="10" t="str">
        <x:v>ELTS Build Plan P3.3</x:v>
      </x:c>
    </x:row>
    <x:row r="39">
      <x:c r="A39" s="34" t="n">
        <x:v>34</x:v>
      </x:c>
      <x:c r="B39" s="34" t="str">
        <x:v>P3.4</x:v>
      </x:c>
      <x:c r="C39" s="34" t="str">
        <x:v>P3</x:v>
      </x:c>
      <x:c r="D39" s="34" t="str">
        <x:v>Rendering</x:v>
      </x:c>
      <x:c r="E39" s="34" t="str">
        <x:v>G3</x:v>
      </x:c>
      <x:c r="F39" s="34" t="str">
        <x:v>WS-C</x:v>
      </x:c>
      <x:c r="G39" s="34" t="str">
        <x:v>Operator debug view</x:v>
      </x:c>
      <x:c r="H39" s="34" t="str">
        <x:v>Second camera on the operator display index from local.json, with free orbit/pan/zoom (mouse), rendering everything in briefing §6.6:
room geometry from config · display rectangle at calibrated pose · base station from its live OpenVR pose with a coverage-direction cone · both trackers as labeled axis gizmos at live poses · participant proxy at head pose with the eye position marked distinctly · weapon proxy · bore ray with screen-intersection marker and a distinct style when onScreen is false · muzzle-to-target ray with the live angular error as a numeric readout · view ray from the eye · the virtual target scene at true scale · the off-axis frustum as a wireframe from the eye through the four screen corners · tracking status per device, visually loud on dropout (e.g., the gizmo turns red and a banner appears).</x:v>
      </x:c>
      <x:c r="I39" s="34" t="str">
        <x:v>G2 passed, P1.14 complete, any display available</x:v>
      </x:c>
      <x:c r="J39" s="34" t="str">
        <x:v>P2.3, P2.4, P3.1</x:v>
      </x:c>
      <x:c r="K39" s="34" t="str"/>
      <x:c r="L39" s="34" t="str">
        <x:v>every listed element is present and updates live; dropout is unmissable.</x:v>
      </x:c>
      <x:c r="M39" s="34" t="str">
        <x:v>every listed element is present and updates live; dropout is unmissable.</x:v>
      </x:c>
      <x:c r="N39" s="34" t="str">
        <x:v>operator view</x:v>
      </x:c>
      <x:c r="O39" s="34" t="str">
        <x:v>Developer</x:v>
      </x:c>
      <x:c r="P39" s="34" t="str">
        <x:v>agent</x:v>
      </x:c>
      <x:c r="Q39" s="34" t="str">
        <x:v>Unity rendering</x:v>
      </x:c>
      <x:c r="R39" s="34" t="str">
        <x:v>not_started</x:v>
      </x:c>
      <x:c r="S39" s="34" t="str">
        <x:f>IF(COUNTIFS('Atomic Steps'!$C$6:$C$248,B39,'Atomic Steps'!$N$6:$N$248,"blocked")&gt;0,"blocked",IF(COUNTIFS('Atomic Steps'!$C$6:$C$248,B39,'Atomic Steps'!$N$6:$N$248,"in_progress")&gt;0,"in_progress",IF(COUNTIFS('Atomic Steps'!$C$6:$C$248,B39,'Atomic Steps'!$N$6:$N$248,"verification_pending")&gt;0,"verification_pending",IF(COUNTIFS('Atomic Steps'!$C$6:$C$248,B39,'Atomic Steps'!$N$6:$N$248,"done")=COUNTIF('Atomic Steps'!$C$6:$C$248,B39),"done",IF(COUNTIFS('Atomic Steps'!$C$6:$C$248,B39,'Atomic Steps'!$N$6:$N$248,"ready")&gt;0,"ready","not_started")))))</x:f>
        <x:v>not_started</x:v>
      </x:c>
      <x:c r="T39" s="34" t="str"/>
      <x:c r="U39" s="34" t="str"/>
      <x:c r="V39" s="34" t="str"/>
      <x:c r="W39" s="34" t="str">
        <x:v>ELTS Build Plan P3.4</x:v>
      </x:c>
    </x:row>
    <x:row r="40">
      <x:c r="A40" s="10" t="n">
        <x:v>35</x:v>
      </x:c>
      <x:c r="B40" s="10" t="str">
        <x:v>P3.5</x:v>
      </x:c>
      <x:c r="C40" s="10" t="str">
        <x:v>P3</x:v>
      </x:c>
      <x:c r="D40" s="10" t="str">
        <x:v>Rendering</x:v>
      </x:c>
      <x:c r="E40" s="10" t="str">
        <x:v>G3</x:v>
      </x:c>
      <x:c r="F40" s="10" t="str">
        <x:v>WS-C</x:v>
      </x:c>
      <x:c r="G40" s="10" t="str">
        <x:v>Multi-display startup check</x:v>
      </x:c>
      <x:c r="H40" s="10" t="str">
        <x:v>On launch: enumerate displays; if fewer than two, show a full-screen error on the only display and do not enter session mode. On success, show a colored identification splash on each display ("PARTICIPANT" in one color, "OPERATOR" in another) for the operator to confirm before proceeding. The operator can swap the assignment from the splash; the choice is saved in local.json (Appendix A.6), which is machine-specific and outside the P8.7 freeze.</x:v>
      </x:c>
      <x:c r="I40" s="10" t="str">
        <x:v>G2 passed, P1.14 complete, any display available</x:v>
      </x:c>
      <x:c r="J40" s="10" t="str">
        <x:v>P1.10</x:v>
      </x:c>
      <x:c r="K40" s="10" t="str"/>
      <x:c r="L40" s="10" t="str">
        <x:v>single-display case refuses to run; swap works and persists.</x:v>
      </x:c>
      <x:c r="M40" s="10" t="str">
        <x:v>single-display case refuses to run; swap works and persists.</x:v>
      </x:c>
      <x:c r="N40" s="10" t="str">
        <x:v>display manager and local config</x:v>
      </x:c>
      <x:c r="O40" s="10" t="str">
        <x:v>Developer</x:v>
      </x:c>
      <x:c r="P40" s="10" t="str">
        <x:v>agent</x:v>
      </x:c>
      <x:c r="Q40" s="10" t="str">
        <x:v>Unity rendering</x:v>
      </x:c>
      <x:c r="R40" s="10" t="str">
        <x:v>not_started</x:v>
      </x:c>
      <x:c r="S40" s="10" t="str">
        <x:f>IF(COUNTIFS('Atomic Steps'!$C$6:$C$248,B40,'Atomic Steps'!$N$6:$N$248,"blocked")&gt;0,"blocked",IF(COUNTIFS('Atomic Steps'!$C$6:$C$248,B40,'Atomic Steps'!$N$6:$N$248,"in_progress")&gt;0,"in_progress",IF(COUNTIFS('Atomic Steps'!$C$6:$C$248,B40,'Atomic Steps'!$N$6:$N$248,"verification_pending")&gt;0,"verification_pending",IF(COUNTIFS('Atomic Steps'!$C$6:$C$248,B40,'Atomic Steps'!$N$6:$N$248,"done")=COUNTIF('Atomic Steps'!$C$6:$C$248,B40),"done",IF(COUNTIFS('Atomic Steps'!$C$6:$C$248,B40,'Atomic Steps'!$N$6:$N$248,"ready")&gt;0,"ready","not_started")))))</x:f>
        <x:v>not_started</x:v>
      </x:c>
      <x:c r="T40" s="10" t="str"/>
      <x:c r="U40" s="10" t="str"/>
      <x:c r="V40" s="10" t="str"/>
      <x:c r="W40" s="10" t="str">
        <x:v>ELTS Build Plan P3.5</x:v>
      </x:c>
    </x:row>
    <x:row r="41">
      <x:c r="A41" s="34" t="n">
        <x:v>36</x:v>
      </x:c>
      <x:c r="B41" s="34" t="str">
        <x:v>P3.6</x:v>
      </x:c>
      <x:c r="C41" s="34" t="str">
        <x:v>P3</x:v>
      </x:c>
      <x:c r="D41" s="34" t="str">
        <x:v>Rendering</x:v>
      </x:c>
      <x:c r="E41" s="34" t="str">
        <x:v>G3</x:v>
      </x:c>
      <x:c r="F41" s="34" t="str">
        <x:v>WS-C, WS-E</x:v>
      </x:c>
      <x:c r="G41" s="34" t="str">
        <x:v>Head-pose prediction tuning (rendering only)</x:v>
      </x:c>
      <x:c r="H41" s="34" t="str">
        <x:v>Add a config value for rendering-only prediction (default 0). Try 0, 10, 20 ms while a lab member moves their head; pick the smallest value that removes perceived swim. Confirm by diff that the logged head pose is unaffected.</x:v>
      </x:c>
      <x:c r="I41" s="34" t="str">
        <x:v>G2 passed, P1.14 complete, any display available</x:v>
      </x:c>
      <x:c r="J41" s="34" t="str">
        <x:v>P3.2, P2.5</x:v>
      </x:c>
      <x:c r="K41" s="34" t="str"/>
      <x:c r="L41" s="34" t="str">
        <x:v>value chosen and documented; log verified unchanged.</x:v>
      </x:c>
      <x:c r="M41" s="34" t="str">
        <x:v>value chosen and documented; log verified unchanged.</x:v>
      </x:c>
      <x:c r="N41" s="34" t="str">
        <x:v>prediction decision record</x:v>
      </x:c>
      <x:c r="O41" s="34" t="str">
        <x:v>Developer</x:v>
      </x:c>
      <x:c r="P41" s="34" t="str">
        <x:v>agent</x:v>
      </x:c>
      <x:c r="Q41" s="34" t="str">
        <x:v>Unity rendering</x:v>
      </x:c>
      <x:c r="R41" s="34" t="str">
        <x:v>not_started</x:v>
      </x:c>
      <x:c r="S41" s="34" t="str">
        <x:f>IF(COUNTIFS('Atomic Steps'!$C$6:$C$248,B41,'Atomic Steps'!$N$6:$N$248,"blocked")&gt;0,"blocked",IF(COUNTIFS('Atomic Steps'!$C$6:$C$248,B41,'Atomic Steps'!$N$6:$N$248,"in_progress")&gt;0,"in_progress",IF(COUNTIFS('Atomic Steps'!$C$6:$C$248,B41,'Atomic Steps'!$N$6:$N$248,"verification_pending")&gt;0,"verification_pending",IF(COUNTIFS('Atomic Steps'!$C$6:$C$248,B41,'Atomic Steps'!$N$6:$N$248,"done")=COUNTIF('Atomic Steps'!$C$6:$C$248,B41),"done",IF(COUNTIFS('Atomic Steps'!$C$6:$C$248,B41,'Atomic Steps'!$N$6:$N$248,"ready")&gt;0,"ready","not_started")))))</x:f>
        <x:v>not_started</x:v>
      </x:c>
      <x:c r="T41" s="34" t="str"/>
      <x:c r="U41" s="34" t="str"/>
      <x:c r="V41" s="34" t="str"/>
      <x:c r="W41" s="34" t="str">
        <x:v>ELTS Build Plan P3.6</x:v>
      </x:c>
    </x:row>
    <x:row r="42">
      <x:c r="A42" s="10" t="n">
        <x:v>37</x:v>
      </x:c>
      <x:c r="B42" s="10" t="str">
        <x:v>P3.7</x:v>
      </x:c>
      <x:c r="C42" s="10" t="str">
        <x:v>P3</x:v>
      </x:c>
      <x:c r="D42" s="10" t="str">
        <x:v>Rendering</x:v>
      </x:c>
      <x:c r="E42" s="10" t="str">
        <x:v>G3</x:v>
      </x:c>
      <x:c r="F42" s="10" t="str">
        <x:v>WS-C</x:v>
      </x:c>
      <x:c r="G42" s="10" t="str">
        <x:v>Performance baseline</x:v>
      </x:c>
      <x:c r="H42" s="10" t="str">
        <x:v>Profile the standalone build at the target refresh rate. Frame time must be stable with no hitches &gt; 1 frame over 5 minutes; log a FrameHitch event whenever deltaTime exceeds 1.5× the nominal frame. Keep the scene deliberately light.</x:v>
      </x:c>
      <x:c r="I42" s="10" t="str">
        <x:v>G2 passed, P1.14 complete, any display available</x:v>
      </x:c>
      <x:c r="J42" s="10" t="str">
        <x:v>P3.2, P3.4</x:v>
      </x:c>
      <x:c r="K42" s="10" t="str"/>
      <x:c r="L42" s="10" t="str">
        <x:v>5-minute run with zero FrameHitch events at the display's refresh rate.</x:v>
      </x:c>
      <x:c r="M42" s="10" t="str">
        <x:v>5-minute run with zero FrameHitch events at the display's refresh rate.</x:v>
      </x:c>
      <x:c r="N42" s="10" t="str">
        <x:v>performance report</x:v>
      </x:c>
      <x:c r="O42" s="10" t="str">
        <x:v>Developer</x:v>
      </x:c>
      <x:c r="P42" s="10" t="str">
        <x:v>agent</x:v>
      </x:c>
      <x:c r="Q42" s="10" t="str">
        <x:v>Unity rendering</x:v>
      </x:c>
      <x:c r="R42" s="10" t="str">
        <x:v>not_started</x:v>
      </x:c>
      <x:c r="S42" s="10" t="str">
        <x:f>IF(COUNTIFS('Atomic Steps'!$C$6:$C$248,B42,'Atomic Steps'!$N$6:$N$248,"blocked")&gt;0,"blocked",IF(COUNTIFS('Atomic Steps'!$C$6:$C$248,B42,'Atomic Steps'!$N$6:$N$248,"in_progress")&gt;0,"in_progress",IF(COUNTIFS('Atomic Steps'!$C$6:$C$248,B42,'Atomic Steps'!$N$6:$N$248,"verification_pending")&gt;0,"verification_pending",IF(COUNTIFS('Atomic Steps'!$C$6:$C$248,B42,'Atomic Steps'!$N$6:$N$248,"done")=COUNTIF('Atomic Steps'!$C$6:$C$248,B42),"done",IF(COUNTIFS('Atomic Steps'!$C$6:$C$248,B42,'Atomic Steps'!$N$6:$N$248,"ready")&gt;0,"ready","not_started")))))</x:f>
        <x:v>not_started</x:v>
      </x:c>
      <x:c r="T42" s="10" t="str"/>
      <x:c r="U42" s="10" t="str"/>
      <x:c r="V42" s="10" t="str"/>
      <x:c r="W42" s="10" t="str">
        <x:v>ELTS Build Plan P3.7</x:v>
      </x:c>
    </x:row>
    <x:row r="43">
      <x:c r="A43" s="34" t="n">
        <x:v>38</x:v>
      </x:c>
      <x:c r="B43" s="34" t="str">
        <x:v>P3.8</x:v>
      </x:c>
      <x:c r="C43" s="34" t="str">
        <x:v>P3</x:v>
      </x:c>
      <x:c r="D43" s="34" t="str">
        <x:v>Rendering</x:v>
      </x:c>
      <x:c r="E43" s="34" t="str">
        <x:v>G3</x:v>
      </x:c>
      <x:c r="F43" s="34" t="str">
        <x:v>WS-C</x:v>
      </x:c>
      <x:c r="G43" s="34" t="str">
        <x:v>Replay mode (minimum version)</x:v>
      </x:c>
      <x:c r="H43" s="34" t="str">
        <x:v>Load a participant folder and drive the operator view from samples.csv and targets.csv with play/pause/scrub. Reuses all the same gizmos. Built now because it pays for itself in every later debugging session.</x:v>
      </x:c>
      <x:c r="I43" s="34" t="str">
        <x:v>G2 passed, P1.14 complete, any display available</x:v>
      </x:c>
      <x:c r="J43" s="34" t="str">
        <x:v>P2.5, P3.4</x:v>
      </x:c>
      <x:c r="K43" s="34" t="str"/>
      <x:c r="L43" s="34" t="str">
        <x:v>a logged session from P2.5 replays in the operator view.</x:v>
      </x:c>
      <x:c r="M43" s="34" t="str">
        <x:v>a logged session from P2.5 replays in the operator view.</x:v>
      </x:c>
      <x:c r="N43" s="34" t="str">
        <x:v>replay module</x:v>
      </x:c>
      <x:c r="O43" s="34" t="str">
        <x:v>Developer</x:v>
      </x:c>
      <x:c r="P43" s="34" t="str">
        <x:v>agent</x:v>
      </x:c>
      <x:c r="Q43" s="34" t="str">
        <x:v>Unity rendering</x:v>
      </x:c>
      <x:c r="R43" s="34" t="str">
        <x:v>not_started</x:v>
      </x:c>
      <x:c r="S43" s="34" t="str">
        <x:f>IF(COUNTIFS('Atomic Steps'!$C$6:$C$248,B43,'Atomic Steps'!$N$6:$N$248,"blocked")&gt;0,"blocked",IF(COUNTIFS('Atomic Steps'!$C$6:$C$248,B43,'Atomic Steps'!$N$6:$N$248,"in_progress")&gt;0,"in_progress",IF(COUNTIFS('Atomic Steps'!$C$6:$C$248,B43,'Atomic Steps'!$N$6:$N$248,"verification_pending")&gt;0,"verification_pending",IF(COUNTIFS('Atomic Steps'!$C$6:$C$248,B43,'Atomic Steps'!$N$6:$N$248,"done")=COUNTIF('Atomic Steps'!$C$6:$C$248,B43),"done",IF(COUNTIFS('Atomic Steps'!$C$6:$C$248,B43,'Atomic Steps'!$N$6:$N$248,"ready")&gt;0,"ready","not_started")))))</x:f>
        <x:v>not_started</x:v>
      </x:c>
      <x:c r="T43" s="34" t="str"/>
      <x:c r="U43" s="34" t="str"/>
      <x:c r="V43" s="34" t="str"/>
      <x:c r="W43" s="34" t="str">
        <x:v>ELTS Build Plan P3.8</x:v>
      </x:c>
    </x:row>
    <x:row r="44">
      <x:c r="A44" s="10" t="n">
        <x:v>39</x:v>
      </x:c>
      <x:c r="B44" s="10" t="str">
        <x:v>P4.1</x:v>
      </x:c>
      <x:c r="C44" s="10" t="str">
        <x:v>P4</x:v>
      </x:c>
      <x:c r="D44" s="10" t="str">
        <x:v>Scenario and session</x:v>
      </x:c>
      <x:c r="E44" s="10" t="str">
        <x:v>G4</x:v>
      </x:c>
      <x:c r="F44" s="10" t="str">
        <x:v>WS-C</x:v>
      </x:c>
      <x:c r="G44" s="10" t="str">
        <x:v>Scenario definition file</x:v>
      </x:c>
      <x:c r="H44" s="10" t="str">
        <x:v>JSON (Appendix A.3) describing: target prefab/shape and radius; spawn rule and spawn volume (world-space box behind the display, config); max simultaneous targets; target lifetime; respawn delay; movement behavior name + parameters; shot model name + parameters; scoring rule name; RNG seed policy (per-block seed = hash(participant, block) unless overridden). Every value the investigators may want to change is here, none in code.</x:v>
      </x:c>
      <x:c r="I44" s="10" t="str">
        <x:v>G3 passed</x:v>
      </x:c>
      <x:c r="J44" s="10" t="str">
        <x:v>G3</x:v>
      </x:c>
      <x:c r="K44" s="10" t="str"/>
      <x:c r="L44" s="10" t="str">
        <x:v>two scenario files (fixed.json, moving.json) load and validate.</x:v>
      </x:c>
      <x:c r="M44" s="10" t="str">
        <x:v>two scenario files (fixed.json, moving.json) load and validate.</x:v>
      </x:c>
      <x:c r="N44" s="10" t="str">
        <x:v>config/study/scenarios and schemas</x:v>
      </x:c>
      <x:c r="O44" s="10" t="str">
        <x:v>Developer</x:v>
      </x:c>
      <x:c r="P44" s="10" t="str">
        <x:v>agent</x:v>
      </x:c>
      <x:c r="Q44" s="10" t="str">
        <x:v>Study application</x:v>
      </x:c>
      <x:c r="R44" s="10" t="str">
        <x:v>not_started</x:v>
      </x:c>
      <x:c r="S44" s="10" t="str">
        <x:f>IF(COUNTIFS('Atomic Steps'!$C$6:$C$248,B44,'Atomic Steps'!$N$6:$N$248,"blocked")&gt;0,"blocked",IF(COUNTIFS('Atomic Steps'!$C$6:$C$248,B44,'Atomic Steps'!$N$6:$N$248,"in_progress")&gt;0,"in_progress",IF(COUNTIFS('Atomic Steps'!$C$6:$C$248,B44,'Atomic Steps'!$N$6:$N$248,"verification_pending")&gt;0,"verification_pending",IF(COUNTIFS('Atomic Steps'!$C$6:$C$248,B44,'Atomic Steps'!$N$6:$N$248,"done")=COUNTIF('Atomic Steps'!$C$6:$C$248,B44),"done",IF(COUNTIFS('Atomic Steps'!$C$6:$C$248,B44,'Atomic Steps'!$N$6:$N$248,"ready")&gt;0,"ready","not_started")))))</x:f>
        <x:v>not_started</x:v>
      </x:c>
      <x:c r="T44" s="10" t="str"/>
      <x:c r="U44" s="10" t="str"/>
      <x:c r="V44" s="10" t="str"/>
      <x:c r="W44" s="10" t="str">
        <x:v>ELTS Build Plan P4.1</x:v>
      </x:c>
    </x:row>
    <x:row r="45">
      <x:c r="A45" s="34" t="n">
        <x:v>40</x:v>
      </x:c>
      <x:c r="B45" s="34" t="str">
        <x:v>P4.2</x:v>
      </x:c>
      <x:c r="C45" s="34" t="str">
        <x:v>P4</x:v>
      </x:c>
      <x:c r="D45" s="34" t="str">
        <x:v>Scenario and session</x:v>
      </x:c>
      <x:c r="E45" s="34" t="str">
        <x:v>G4</x:v>
      </x:c>
      <x:c r="F45" s="34" t="str">
        <x:v>WS-C</x:v>
      </x:c>
      <x:c r="G45" s="34" t="str">
        <x:v>Target entity</x:v>
      </x:c>
      <x:c r="H45" s="34" t="str">
        <x:v>World-space object with id, position, velocity, radius, state (Spawned → Active → Destroyed/Despawned), spawn time. Renders in the stimulus layer only. Contributes to the per-frame target snapshot (P2.7) and to targets.csv every frame with its projected u, v under the current head pose and its visible flag (Appendix B.2). No screen coordinate is ever stored on the target itself.</x:v>
      </x:c>
      <x:c r="I45" s="34" t="str">
        <x:v>G3 passed</x:v>
      </x:c>
      <x:c r="J45" s="34" t="str">
        <x:v>P4.1, P2.7</x:v>
      </x:c>
      <x:c r="K45" s="34" t="str"/>
      <x:c r="L45" s="34" t="str">
        <x:v>a target's u, v in the log change when only the head moves.</x:v>
      </x:c>
      <x:c r="M45" s="34" t="str">
        <x:v>a target's u, v in the log change when only the head moves.</x:v>
      </x:c>
      <x:c r="N45" s="34" t="str">
        <x:v>Code, documentation, test evidence, or lab evidence named in the task</x:v>
      </x:c>
      <x:c r="O45" s="34" t="str">
        <x:v>Developer</x:v>
      </x:c>
      <x:c r="P45" s="34" t="str">
        <x:v>agent</x:v>
      </x:c>
      <x:c r="Q45" s="34" t="str">
        <x:v>Study application</x:v>
      </x:c>
      <x:c r="R45" s="34" t="str">
        <x:v>not_started</x:v>
      </x:c>
      <x:c r="S45" s="34" t="str">
        <x:f>IF(COUNTIFS('Atomic Steps'!$C$6:$C$248,B45,'Atomic Steps'!$N$6:$N$248,"blocked")&gt;0,"blocked",IF(COUNTIFS('Atomic Steps'!$C$6:$C$248,B45,'Atomic Steps'!$N$6:$N$248,"in_progress")&gt;0,"in_progress",IF(COUNTIFS('Atomic Steps'!$C$6:$C$248,B45,'Atomic Steps'!$N$6:$N$248,"verification_pending")&gt;0,"verification_pending",IF(COUNTIFS('Atomic Steps'!$C$6:$C$248,B45,'Atomic Steps'!$N$6:$N$248,"done")=COUNTIF('Atomic Steps'!$C$6:$C$248,B45),"done",IF(COUNTIFS('Atomic Steps'!$C$6:$C$248,B45,'Atomic Steps'!$N$6:$N$248,"ready")&gt;0,"ready","not_started")))))</x:f>
        <x:v>not_started</x:v>
      </x:c>
      <x:c r="T45" s="34" t="str"/>
      <x:c r="U45" s="34" t="str"/>
      <x:c r="V45" s="34" t="str"/>
      <x:c r="W45" s="34" t="str">
        <x:v>ELTS Build Plan P4.2</x:v>
      </x:c>
    </x:row>
    <x:row r="46">
      <x:c r="A46" s="10" t="n">
        <x:v>41</x:v>
      </x:c>
      <x:c r="B46" s="10" t="str">
        <x:v>P4.3</x:v>
      </x:c>
      <x:c r="C46" s="10" t="str">
        <x:v>P4</x:v>
      </x:c>
      <x:c r="D46" s="10" t="str">
        <x:v>Scenario and session</x:v>
      </x:c>
      <x:c r="E46" s="10" t="str">
        <x:v>G4</x:v>
      </x:c>
      <x:c r="F46" s="10" t="str">
        <x:v>WS-C</x:v>
      </x:c>
      <x:c r="G46" s="10" t="str">
        <x:v>Movement behavior plug-ins</x:v>
      </x:c>
      <x:c r="H46" s="10" t="str">
        <x:v>IMovementBehaviour with Fixed (no motion) and a placeholder RandomWalk (parameters: speed range, direction-change interval, bounds = spawn volume, seed). The actual moving-target specification is D-04 and is not decided here; the plug-in boundary is what matters. Each behavior is seeded from the block seed and logs it (BlockStart event), so trajectories are reproducible offline.</x:v>
      </x:c>
      <x:c r="I46" s="10" t="str">
        <x:v>G3 passed</x:v>
      </x:c>
      <x:c r="J46" s="10" t="str">
        <x:v>P4.1, D-04</x:v>
      </x:c>
      <x:c r="K46" s="10" t="str">
        <x:v>D-04</x:v>
      </x:c>
      <x:c r="L46" s="10" t="str">
        <x:v>swapping the behavior name in the scenario file changes target motion with no code change; the seed round-trips.</x:v>
      </x:c>
      <x:c r="M46" s="10" t="str">
        <x:v>swapping the behavior name in the scenario file changes target motion with no code change; the seed round-trips.</x:v>
      </x:c>
      <x:c r="N46" s="10" t="str">
        <x:v>Code, documentation, test evidence, or lab evidence named in the task</x:v>
      </x:c>
      <x:c r="O46" s="10" t="str">
        <x:v>Developer</x:v>
      </x:c>
      <x:c r="P46" s="10" t="str">
        <x:v>agent</x:v>
      </x:c>
      <x:c r="Q46" s="10" t="str">
        <x:v>Study application</x:v>
      </x:c>
      <x:c r="R46" s="10" t="str">
        <x:v>not_started</x:v>
      </x:c>
      <x:c r="S46" s="10" t="str">
        <x:f>IF(COUNTIFS('Atomic Steps'!$C$6:$C$248,B46,'Atomic Steps'!$N$6:$N$248,"blocked")&gt;0,"blocked",IF(COUNTIFS('Atomic Steps'!$C$6:$C$248,B46,'Atomic Steps'!$N$6:$N$248,"in_progress")&gt;0,"in_progress",IF(COUNTIFS('Atomic Steps'!$C$6:$C$248,B46,'Atomic Steps'!$N$6:$N$248,"verification_pending")&gt;0,"verification_pending",IF(COUNTIFS('Atomic Steps'!$C$6:$C$248,B46,'Atomic Steps'!$N$6:$N$248,"done")=COUNTIF('Atomic Steps'!$C$6:$C$248,B46),"done",IF(COUNTIFS('Atomic Steps'!$C$6:$C$248,B46,'Atomic Steps'!$N$6:$N$248,"ready")&gt;0,"ready","not_started")))))</x:f>
        <x:v>not_started</x:v>
      </x:c>
      <x:c r="T46" s="10" t="str"/>
      <x:c r="U46" s="10" t="str"/>
      <x:c r="V46" s="10" t="str"/>
      <x:c r="W46" s="10" t="str">
        <x:v>ELTS Build Plan P4.3</x:v>
      </x:c>
    </x:row>
    <x:row r="47">
      <x:c r="A47" s="34" t="n">
        <x:v>42</x:v>
      </x:c>
      <x:c r="B47" s="34" t="str">
        <x:v>P4.4</x:v>
      </x:c>
      <x:c r="C47" s="34" t="str">
        <x:v>P4</x:v>
      </x:c>
      <x:c r="D47" s="34" t="str">
        <x:v>Scenario and session</x:v>
      </x:c>
      <x:c r="E47" s="34" t="str">
        <x:v>G4</x:v>
      </x:c>
      <x:c r="F47" s="34" t="str">
        <x:v>WS-C</x:v>
      </x:c>
      <x:c r="G47" s="34" t="str">
        <x:v>Spawn rule plug-in</x:v>
      </x:c>
      <x:c r="H47" s="34" t="str">
        <x:v>ISpawnRule with a default MaintainCount rule (keep N targets active; respawn after the configured delay at a random position in the spawn volume that is currently visible from the eye position — visibility check, not screen coordinates). Targets spawning outside the current view would be un-hittable and would corrupt the count DV.</x:v>
      </x:c>
      <x:c r="I47" s="34" t="str">
        <x:v>G3 passed</x:v>
      </x:c>
      <x:c r="J47" s="34" t="str">
        <x:v>P4.1, P2.4</x:v>
      </x:c>
      <x:c r="K47" s="34" t="str"/>
      <x:c r="L47" s="34" t="str">
        <x:v>over a 5-minute run, 100% of spawns are visible at spawn time (checked from the log).</x:v>
      </x:c>
      <x:c r="M47" s="34" t="str">
        <x:v>over a 5-minute run, 100% of spawns are visible at spawn time (checked from the log).</x:v>
      </x:c>
      <x:c r="N47" s="34" t="str">
        <x:v>Code, documentation, test evidence, or lab evidence named in the task</x:v>
      </x:c>
      <x:c r="O47" s="34" t="str">
        <x:v>Developer</x:v>
      </x:c>
      <x:c r="P47" s="34" t="str">
        <x:v>agent</x:v>
      </x:c>
      <x:c r="Q47" s="34" t="str">
        <x:v>Study application</x:v>
      </x:c>
      <x:c r="R47" s="34" t="str">
        <x:v>not_started</x:v>
      </x:c>
      <x:c r="S47" s="34" t="str">
        <x:f>IF(COUNTIFS('Atomic Steps'!$C$6:$C$248,B47,'Atomic Steps'!$N$6:$N$248,"blocked")&gt;0,"blocked",IF(COUNTIFS('Atomic Steps'!$C$6:$C$248,B47,'Atomic Steps'!$N$6:$N$248,"in_progress")&gt;0,"in_progress",IF(COUNTIFS('Atomic Steps'!$C$6:$C$248,B47,'Atomic Steps'!$N$6:$N$248,"verification_pending")&gt;0,"verification_pending",IF(COUNTIFS('Atomic Steps'!$C$6:$C$248,B47,'Atomic Steps'!$N$6:$N$248,"done")=COUNTIF('Atomic Steps'!$C$6:$C$248,B47),"done",IF(COUNTIFS('Atomic Steps'!$C$6:$C$248,B47,'Atomic Steps'!$N$6:$N$248,"ready")&gt;0,"ready","not_started")))))</x:f>
        <x:v>not_started</x:v>
      </x:c>
      <x:c r="T47" s="34" t="str"/>
      <x:c r="U47" s="34" t="str"/>
      <x:c r="V47" s="34" t="str"/>
      <x:c r="W47" s="34" t="str">
        <x:v>ELTS Build Plan P4.4</x:v>
      </x:c>
    </x:row>
    <x:row r="48">
      <x:c r="A48" s="10" t="n">
        <x:v>43</x:v>
      </x:c>
      <x:c r="B48" s="10" t="str">
        <x:v>P4.5</x:v>
      </x:c>
      <x:c r="C48" s="10" t="str">
        <x:v>P4</x:v>
      </x:c>
      <x:c r="D48" s="10" t="str">
        <x:v>Scenario and session</x:v>
      </x:c>
      <x:c r="E48" s="10" t="str">
        <x:v>G4</x:v>
      </x:c>
      <x:c r="F48" s="10" t="str">
        <x:v>WS-C</x:v>
      </x:c>
      <x:c r="G48" s="10" t="str">
        <x:v>Shot model plug-in</x:v>
      </x:c>
      <x:c r="H48" s="10" t="str">
        <x:v>IShotModel with the default Hitscan: on each Shot event, take the sample captured at the trigger edge (bore origin/direction at that instant), intersect analytically with every active target (P2.4 primitives), select the nearest hit. Parameters, all in the scenario file with defaults that mean "no limit" until D-05 sets them: ammo, reloadSeconds, minShotIntervalSeconds, hitsToDestroy, requireVisibleToHit (default true: a target the participant cannot see through the window cannot be credited). Emits ShotFired with the full Appendix B.3 payload and TargetHit/TargetDestroyed as appropriate.</x:v>
      </x:c>
      <x:c r="I48" s="10" t="str">
        <x:v>G3 passed</x:v>
      </x:c>
      <x:c r="J48" s="10" t="str">
        <x:v>P2.3, P2.4, P4.1, D-05</x:v>
      </x:c>
      <x:c r="K48" s="10" t="str">
        <x:v>D-05</x:v>
      </x:c>
      <x:c r="L48" s="10" t="str">
        <x:v>PlayMode test: scripted trigger at a known pose hits/misses known targets; parameters change behavior.</x:v>
      </x:c>
      <x:c r="M48" s="10" t="str">
        <x:v>PlayMode test: scripted trigger at a known pose hits/misses known targets; parameters change behavior.</x:v>
      </x:c>
      <x:c r="N48" s="10" t="str">
        <x:v>Code, documentation, test evidence, or lab evidence named in the task</x:v>
      </x:c>
      <x:c r="O48" s="10" t="str">
        <x:v>Developer</x:v>
      </x:c>
      <x:c r="P48" s="10" t="str">
        <x:v>agent</x:v>
      </x:c>
      <x:c r="Q48" s="10" t="str">
        <x:v>Study application</x:v>
      </x:c>
      <x:c r="R48" s="10" t="str">
        <x:v>not_started</x:v>
      </x:c>
      <x:c r="S48" s="10" t="str">
        <x:f>IF(COUNTIFS('Atomic Steps'!$C$6:$C$248,B48,'Atomic Steps'!$N$6:$N$248,"blocked")&gt;0,"blocked",IF(COUNTIFS('Atomic Steps'!$C$6:$C$248,B48,'Atomic Steps'!$N$6:$N$248,"in_progress")&gt;0,"in_progress",IF(COUNTIFS('Atomic Steps'!$C$6:$C$248,B48,'Atomic Steps'!$N$6:$N$248,"verification_pending")&gt;0,"verification_pending",IF(COUNTIFS('Atomic Steps'!$C$6:$C$248,B48,'Atomic Steps'!$N$6:$N$248,"done")=COUNTIF('Atomic Steps'!$C$6:$C$248,B48),"done",IF(COUNTIFS('Atomic Steps'!$C$6:$C$248,B48,'Atomic Steps'!$N$6:$N$248,"ready")&gt;0,"ready","not_started")))))</x:f>
        <x:v>not_started</x:v>
      </x:c>
      <x:c r="T48" s="10" t="str"/>
      <x:c r="U48" s="10" t="str"/>
      <x:c r="V48" s="10" t="str"/>
      <x:c r="W48" s="10" t="str">
        <x:v>ELTS Build Plan P4.5</x:v>
      </x:c>
    </x:row>
    <x:row r="49">
      <x:c r="A49" s="34" t="n">
        <x:v>44</x:v>
      </x:c>
      <x:c r="B49" s="34" t="str">
        <x:v>P4.6</x:v>
      </x:c>
      <x:c r="C49" s="34" t="str">
        <x:v>P4</x:v>
      </x:c>
      <x:c r="D49" s="34" t="str">
        <x:v>Scenario and session</x:v>
      </x:c>
      <x:c r="E49" s="34" t="str">
        <x:v>G4</x:v>
      </x:c>
      <x:c r="F49" s="34" t="str">
        <x:v>WS-C</x:v>
      </x:c>
      <x:c r="G49" s="34" t="str">
        <x:v>Scoring rule plug-in</x:v>
      </x:c>
      <x:c r="H49" s="34" t="str">
        <x:v>IScoringRule with TargetsDestroyedCount as the only implementation for this study. The block score is the count of TargetDestroyed events between BlockStart and BlockEnd — computed from the event stream, so the log is the source of truth, not an in-memory counter.</x:v>
      </x:c>
      <x:c r="I49" s="34" t="str">
        <x:v>G3 passed</x:v>
      </x:c>
      <x:c r="J49" s="34" t="str">
        <x:v>P2.6, P4.5</x:v>
      </x:c>
      <x:c r="K49" s="34" t="str"/>
      <x:c r="L49" s="34" t="str">
        <x:v>ingest.py reproduces the app's block score from events.csv exactly.</x:v>
      </x:c>
      <x:c r="M49" s="34" t="str">
        <x:v>ingest.py reproduces the app's block score from events.csv exactly.</x:v>
      </x:c>
      <x:c r="N49" s="34" t="str">
        <x:v>Code, documentation, test evidence, or lab evidence named in the task</x:v>
      </x:c>
      <x:c r="O49" s="34" t="str">
        <x:v>Developer</x:v>
      </x:c>
      <x:c r="P49" s="34" t="str">
        <x:v>agent</x:v>
      </x:c>
      <x:c r="Q49" s="34" t="str">
        <x:v>Study application</x:v>
      </x:c>
      <x:c r="R49" s="34" t="str">
        <x:v>not_started</x:v>
      </x:c>
      <x:c r="S49" s="34" t="str">
        <x:f>IF(COUNTIFS('Atomic Steps'!$C$6:$C$248,B49,'Atomic Steps'!$N$6:$N$248,"blocked")&gt;0,"blocked",IF(COUNTIFS('Atomic Steps'!$C$6:$C$248,B49,'Atomic Steps'!$N$6:$N$248,"in_progress")&gt;0,"in_progress",IF(COUNTIFS('Atomic Steps'!$C$6:$C$248,B49,'Atomic Steps'!$N$6:$N$248,"verification_pending")&gt;0,"verification_pending",IF(COUNTIFS('Atomic Steps'!$C$6:$C$248,B49,'Atomic Steps'!$N$6:$N$248,"done")=COUNTIF('Atomic Steps'!$C$6:$C$248,B49),"done",IF(COUNTIFS('Atomic Steps'!$C$6:$C$248,B49,'Atomic Steps'!$N$6:$N$248,"ready")&gt;0,"ready","not_started")))))</x:f>
        <x:v>not_started</x:v>
      </x:c>
      <x:c r="T49" s="34" t="str"/>
      <x:c r="U49" s="34" t="str"/>
      <x:c r="V49" s="34" t="str"/>
      <x:c r="W49" s="34" t="str">
        <x:v>ELTS Build Plan P4.6</x:v>
      </x:c>
    </x:row>
    <x:row r="50">
      <x:c r="A50" s="10" t="n">
        <x:v>45</x:v>
      </x:c>
      <x:c r="B50" s="10" t="str">
        <x:v>P4.7</x:v>
      </x:c>
      <x:c r="C50" s="10" t="str">
        <x:v>P4</x:v>
      </x:c>
      <x:c r="D50" s="10" t="str">
        <x:v>Scenario and session</x:v>
      </x:c>
      <x:c r="E50" s="10" t="str">
        <x:v>G4</x:v>
      </x:c>
      <x:c r="F50" s="10" t="str">
        <x:v>WS-C</x:v>
      </x:c>
      <x:c r="G50" s="10" t="str">
        <x:v>Participant-facing feedback (decision-driven)</x:v>
      </x:c>
      <x:c r="H50" s="10" t="str">
        <x:v>Implement hit/destroy visuals, shot sound, and a score readout as toggles in the scenario file, all default off. Whether participants see a score or hear feedback is D-06 (investigators); the code supports both answers.
### Tasks — session system (§12.5)</x:v>
      </x:c>
      <x:c r="I50" s="10" t="str">
        <x:v>G3 passed</x:v>
      </x:c>
      <x:c r="J50" s="10" t="str">
        <x:v>P4.1, D-06</x:v>
      </x:c>
      <x:c r="K50" s="10" t="str">
        <x:v>D-06</x:v>
      </x:c>
      <x:c r="L50" s="10" t="str">
        <x:v>each toggle works independently.</x:v>
      </x:c>
      <x:c r="M50" s="10" t="str">
        <x:v>each toggle works independently.</x:v>
      </x:c>
      <x:c r="N50" s="10" t="str">
        <x:v>Code, documentation, test evidence, or lab evidence named in the task</x:v>
      </x:c>
      <x:c r="O50" s="10" t="str">
        <x:v>Developer</x:v>
      </x:c>
      <x:c r="P50" s="10" t="str">
        <x:v>agent</x:v>
      </x:c>
      <x:c r="Q50" s="10" t="str">
        <x:v>Study application</x:v>
      </x:c>
      <x:c r="R50" s="10" t="str">
        <x:v>not_started</x:v>
      </x:c>
      <x:c r="S50" s="10" t="str">
        <x:f>IF(COUNTIFS('Atomic Steps'!$C$6:$C$248,B50,'Atomic Steps'!$N$6:$N$248,"blocked")&gt;0,"blocked",IF(COUNTIFS('Atomic Steps'!$C$6:$C$248,B50,'Atomic Steps'!$N$6:$N$248,"in_progress")&gt;0,"in_progress",IF(COUNTIFS('Atomic Steps'!$C$6:$C$248,B50,'Atomic Steps'!$N$6:$N$248,"verification_pending")&gt;0,"verification_pending",IF(COUNTIFS('Atomic Steps'!$C$6:$C$248,B50,'Atomic Steps'!$N$6:$N$248,"done")=COUNTIF('Atomic Steps'!$C$6:$C$248,B50),"done",IF(COUNTIFS('Atomic Steps'!$C$6:$C$248,B50,'Atomic Steps'!$N$6:$N$248,"ready")&gt;0,"ready","not_started")))))</x:f>
        <x:v>not_started</x:v>
      </x:c>
      <x:c r="T50" s="10" t="str"/>
      <x:c r="U50" s="10" t="str"/>
      <x:c r="V50" s="10" t="str"/>
      <x:c r="W50" s="10" t="str">
        <x:v>ELTS Build Plan P4.7</x:v>
      </x:c>
    </x:row>
    <x:row r="51">
      <x:c r="A51" s="34" t="n">
        <x:v>46</x:v>
      </x:c>
      <x:c r="B51" s="34" t="str">
        <x:v>P4.8</x:v>
      </x:c>
      <x:c r="C51" s="34" t="str">
        <x:v>P4</x:v>
      </x:c>
      <x:c r="D51" s="34" t="str">
        <x:v>Scenario and session</x:v>
      </x:c>
      <x:c r="E51" s="34" t="str">
        <x:v>G4</x:v>
      </x:c>
      <x:c r="F51" s="34" t="str">
        <x:v>WS-C, WS-F</x:v>
      </x:c>
      <x:c r="G51" s="34" t="str">
        <x:v>Session definition</x:v>
      </x:c>
      <x:c r="H51" s="34" t="str">
        <x:v>JSON (Appendix A.4): the four conditions (WE/NE × MT/FT), each mapped to a scenario file and an elts flag; the condition block duration (300 s — fixed by the design); the break duration; the practice block(s). The order of the four conditions is not in this file — it is entered per participant (P4.9). Practice content is D-07; the template ships with a placeholder practice block.</x:v>
      </x:c>
      <x:c r="I51" s="34" t="str">
        <x:v>G3 passed</x:v>
      </x:c>
      <x:c r="J51" s="34" t="str">
        <x:v>D-07</x:v>
      </x:c>
      <x:c r="K51" s="34" t="str">
        <x:v>D-07</x:v>
      </x:c>
      <x:c r="L51" s="34" t="str">
        <x:v>template loads; conditionDurationS cannot be anything other than 300 without an explicit overrideDesignDuration: true flag (guards the DV).</x:v>
      </x:c>
      <x:c r="M51" s="34" t="str">
        <x:v>template loads; conditionDurationS cannot be anything other than 300 without an explicit overrideDesignDuration: true flag (guards the DV).</x:v>
      </x:c>
      <x:c r="N51" s="34" t="str">
        <x:v>config/study/sessions</x:v>
      </x:c>
      <x:c r="O51" s="34" t="str">
        <x:v>Developer</x:v>
      </x:c>
      <x:c r="P51" s="34" t="str">
        <x:v>agent</x:v>
      </x:c>
      <x:c r="Q51" s="34" t="str">
        <x:v>Study application</x:v>
      </x:c>
      <x:c r="R51" s="34" t="str">
        <x:v>not_started</x:v>
      </x:c>
      <x:c r="S51" s="34" t="str">
        <x:f>IF(COUNTIFS('Atomic Steps'!$C$6:$C$248,B51,'Atomic Steps'!$N$6:$N$248,"blocked")&gt;0,"blocked",IF(COUNTIFS('Atomic Steps'!$C$6:$C$248,B51,'Atomic Steps'!$N$6:$N$248,"in_progress")&gt;0,"in_progress",IF(COUNTIFS('Atomic Steps'!$C$6:$C$248,B51,'Atomic Steps'!$N$6:$N$248,"verification_pending")&gt;0,"verification_pending",IF(COUNTIFS('Atomic Steps'!$C$6:$C$248,B51,'Atomic Steps'!$N$6:$N$248,"done")=COUNTIF('Atomic Steps'!$C$6:$C$248,B51),"done",IF(COUNTIFS('Atomic Steps'!$C$6:$C$248,B51,'Atomic Steps'!$N$6:$N$248,"ready")&gt;0,"ready","not_started")))))</x:f>
        <x:v>not_started</x:v>
      </x:c>
      <x:c r="T51" s="34" t="str"/>
      <x:c r="U51" s="34" t="str"/>
      <x:c r="V51" s="34" t="str"/>
      <x:c r="W51" s="34" t="str">
        <x:v>ELTS Build Plan P4.8</x:v>
      </x:c>
    </x:row>
    <x:row r="52">
      <x:c r="A52" s="10" t="n">
        <x:v>47</x:v>
      </x:c>
      <x:c r="B52" s="10" t="str">
        <x:v>P4.9</x:v>
      </x:c>
      <x:c r="C52" s="10" t="str">
        <x:v>P4</x:v>
      </x:c>
      <x:c r="D52" s="10" t="str">
        <x:v>Scenario and session</x:v>
      </x:c>
      <x:c r="E52" s="10" t="str">
        <x:v>G4</x:v>
      </x:c>
      <x:c r="F52" s="10" t="str">
        <x:v>WS-C, WS-F</x:v>
      </x:c>
      <x:c r="G52" s="10" t="str">
        <x:v>Block order input</x:v>
      </x:c>
      <x:c r="H52" s="10" t="str">
        <x:v>The operator enters the participant ID and the four-block order for this participant, taken from the investigators' pre-generated assignment sheet (D-08 — whether that sheet is fully random or counterbalanced is their call). The app validates it is a permutation of the four conditions, records it in session.json and every block header, and refuses to start without it.</x:v>
      </x:c>
      <x:c r="I52" s="10" t="str">
        <x:v>G3 passed</x:v>
      </x:c>
      <x:c r="J52" s="10" t="str">
        <x:v>P4.8, D-08</x:v>
      </x:c>
      <x:c r="K52" s="10" t="str">
        <x:v>D-08</x:v>
      </x:c>
      <x:c r="L52" s="10" t="str">
        <x:v>invalid orders rejected; order appears in all headers.</x:v>
      </x:c>
      <x:c r="M52" s="10" t="str">
        <x:v>invalid orders rejected; order appears in all headers.</x:v>
      </x:c>
      <x:c r="N52" s="10" t="str">
        <x:v>Code, documentation, test evidence, or lab evidence named in the task</x:v>
      </x:c>
      <x:c r="O52" s="10" t="str">
        <x:v>Developer</x:v>
      </x:c>
      <x:c r="P52" s="10" t="str">
        <x:v>agent</x:v>
      </x:c>
      <x:c r="Q52" s="10" t="str">
        <x:v>Study application</x:v>
      </x:c>
      <x:c r="R52" s="10" t="str">
        <x:v>not_started</x:v>
      </x:c>
      <x:c r="S52" s="10" t="str">
        <x:f>IF(COUNTIFS('Atomic Steps'!$C$6:$C$248,B52,'Atomic Steps'!$N$6:$N$248,"blocked")&gt;0,"blocked",IF(COUNTIFS('Atomic Steps'!$C$6:$C$248,B52,'Atomic Steps'!$N$6:$N$248,"in_progress")&gt;0,"in_progress",IF(COUNTIFS('Atomic Steps'!$C$6:$C$248,B52,'Atomic Steps'!$N$6:$N$248,"verification_pending")&gt;0,"verification_pending",IF(COUNTIFS('Atomic Steps'!$C$6:$C$248,B52,'Atomic Steps'!$N$6:$N$248,"done")=COUNTIF('Atomic Steps'!$C$6:$C$248,B52),"done",IF(COUNTIFS('Atomic Steps'!$C$6:$C$248,B52,'Atomic Steps'!$N$6:$N$248,"ready")&gt;0,"ready","not_started")))))</x:f>
        <x:v>not_started</x:v>
      </x:c>
      <x:c r="T52" s="10" t="str"/>
      <x:c r="U52" s="10" t="str"/>
      <x:c r="V52" s="10" t="str"/>
      <x:c r="W52" s="10" t="str">
        <x:v>ELTS Build Plan P4.9</x:v>
      </x:c>
    </x:row>
    <x:row r="53">
      <x:c r="A53" s="34" t="n">
        <x:v>48</x:v>
      </x:c>
      <x:c r="B53" s="34" t="str">
        <x:v>P4.10</x:v>
      </x:c>
      <x:c r="C53" s="34" t="str">
        <x:v>P4</x:v>
      </x:c>
      <x:c r="D53" s="34" t="str">
        <x:v>Scenario and session</x:v>
      </x:c>
      <x:c r="E53" s="34" t="str">
        <x:v>G4</x:v>
      </x:c>
      <x:c r="F53" s="34" t="str">
        <x:v>WS-C, WS-F</x:v>
      </x:c>
      <x:c r="G53" s="34" t="str">
        <x:v>Session state machine</x:v>
      </x:c>
      <x:c r="H53" s="34" t="str">
        <x:v>States: Idle → SessionSetup → Calibration (Phase 5 fills this in) → Practice → for each block BlockReady → BlockRunning → BlockEnded → Break → … → SessionComplete. Transitions only from operator actions or timers. Every transition posts an event. BlockRunning lasts exactly durationSeconds on Clock; targets exist only in BlockRunning; the ELTS link (Phase 6) is called at BlockRunning entry/exit when eltsEnabled. Abort is available from any state, requires a reason string, marks the block in session.json, keeps all files (nothing is ever deleted), and offers "re-run this block" which writes to a _r{k} folder.</x:v>
      </x:c>
      <x:c r="I53" s="34" t="str">
        <x:v>G3 passed</x:v>
      </x:c>
      <x:c r="J53" s="34" t="str">
        <x:v>P4.8, P4.9</x:v>
      </x:c>
      <x:c r="K53" s="34" t="str"/>
      <x:c r="L53" s="34" t="str">
        <x:v>PlayMode test drives a full session through every transition; abort/re-run paths covered.</x:v>
      </x:c>
      <x:c r="M53" s="34" t="str">
        <x:v>PlayMode test drives a full session through every transition; abort/re-run paths covered.</x:v>
      </x:c>
      <x:c r="N53" s="34" t="str">
        <x:v>Code, documentation, test evidence, or lab evidence named in the task</x:v>
      </x:c>
      <x:c r="O53" s="34" t="str">
        <x:v>Developer</x:v>
      </x:c>
      <x:c r="P53" s="34" t="str">
        <x:v>agent</x:v>
      </x:c>
      <x:c r="Q53" s="34" t="str">
        <x:v>Study application</x:v>
      </x:c>
      <x:c r="R53" s="34" t="str">
        <x:v>not_started</x:v>
      </x:c>
      <x:c r="S53" s="34" t="str">
        <x:f>IF(COUNTIFS('Atomic Steps'!$C$6:$C$248,B53,'Atomic Steps'!$N$6:$N$248,"blocked")&gt;0,"blocked",IF(COUNTIFS('Atomic Steps'!$C$6:$C$248,B53,'Atomic Steps'!$N$6:$N$248,"in_progress")&gt;0,"in_progress",IF(COUNTIFS('Atomic Steps'!$C$6:$C$248,B53,'Atomic Steps'!$N$6:$N$248,"verification_pending")&gt;0,"verification_pending",IF(COUNTIFS('Atomic Steps'!$C$6:$C$248,B53,'Atomic Steps'!$N$6:$N$248,"done")=COUNTIF('Atomic Steps'!$C$6:$C$248,B53),"done",IF(COUNTIFS('Atomic Steps'!$C$6:$C$248,B53,'Atomic Steps'!$N$6:$N$248,"ready")&gt;0,"ready","not_started")))))</x:f>
        <x:v>not_started</x:v>
      </x:c>
      <x:c r="T53" s="34" t="str"/>
      <x:c r="U53" s="34" t="str"/>
      <x:c r="V53" s="34" t="str"/>
      <x:c r="W53" s="34" t="str">
        <x:v>ELTS Build Plan P4.10</x:v>
      </x:c>
    </x:row>
    <x:row r="54">
      <x:c r="A54" s="10" t="n">
        <x:v>49</x:v>
      </x:c>
      <x:c r="B54" s="10" t="str">
        <x:v>P4.11</x:v>
      </x:c>
      <x:c r="C54" s="10" t="str">
        <x:v>P4</x:v>
      </x:c>
      <x:c r="D54" s="10" t="str">
        <x:v>Scenario and session</x:v>
      </x:c>
      <x:c r="E54" s="10" t="str">
        <x:v>G4</x:v>
      </x:c>
      <x:c r="F54" s="10" t="str">
        <x:v>WS-C, WS-F</x:v>
      </x:c>
      <x:c r="G54" s="10" t="str">
        <x:v>Operator UI (UI Toolkit)</x:v>
      </x:c>
      <x:c r="H54" s="10" t="str">
        <x:v>Panels on the operator display:
Setup: participant ID, block order entry, scenario/session template selection, config summary, self-check results (§12.4).
Calibration: placeholders for Phase 5 wizards.
Session control: current state, big Start/End/Abort buttons, block countdown, break countdown, next block condition, ELTS link status (Phase 6).
Status: per-tracker validity with dropout counters, sample rate, drop count, disk free, frame hitches, live aim error, last shot result.
Notes: free-text operator notes with timestamps, written to events.csv as OperatorNote.
Sync marker: a button that posts SyncMarker (for D-12; see Appendix D.7).</x:v>
      </x:c>
      <x:c r="I54" s="10" t="str">
        <x:v>G3 passed</x:v>
      </x:c>
      <x:c r="J54" s="10" t="str">
        <x:v>P4.10</x:v>
      </x:c>
      <x:c r="K54" s="10" t="str">
        <x:v>D-12</x:v>
      </x:c>
      <x:c r="L54" s="10" t="str">
        <x:v>a lab member can run a full dry session using only the operator screen.</x:v>
      </x:c>
      <x:c r="M54" s="10" t="str">
        <x:v>a lab member can run a full dry session using only the operator screen.</x:v>
      </x:c>
      <x:c r="N54" s="10" t="str">
        <x:v>Code, documentation, test evidence, or lab evidence named in the task</x:v>
      </x:c>
      <x:c r="O54" s="10" t="str">
        <x:v>Developer</x:v>
      </x:c>
      <x:c r="P54" s="10" t="str">
        <x:v>agent</x:v>
      </x:c>
      <x:c r="Q54" s="10" t="str">
        <x:v>Study application</x:v>
      </x:c>
      <x:c r="R54" s="10" t="str">
        <x:v>not_started</x:v>
      </x:c>
      <x:c r="S54" s="10" t="str">
        <x:f>IF(COUNTIFS('Atomic Steps'!$C$6:$C$248,B54,'Atomic Steps'!$N$6:$N$248,"blocked")&gt;0,"blocked",IF(COUNTIFS('Atomic Steps'!$C$6:$C$248,B54,'Atomic Steps'!$N$6:$N$248,"in_progress")&gt;0,"in_progress",IF(COUNTIFS('Atomic Steps'!$C$6:$C$248,B54,'Atomic Steps'!$N$6:$N$248,"verification_pending")&gt;0,"verification_pending",IF(COUNTIFS('Atomic Steps'!$C$6:$C$248,B54,'Atomic Steps'!$N$6:$N$248,"done")=COUNTIF('Atomic Steps'!$C$6:$C$248,B54),"done",IF(COUNTIFS('Atomic Steps'!$C$6:$C$248,B54,'Atomic Steps'!$N$6:$N$248,"ready")&gt;0,"ready","not_started")))))</x:f>
        <x:v>not_started</x:v>
      </x:c>
      <x:c r="T54" s="10" t="str"/>
      <x:c r="U54" s="10" t="str"/>
      <x:c r="V54" s="10" t="str"/>
      <x:c r="W54" s="10" t="str">
        <x:v>ELTS Build Plan P4.11</x:v>
      </x:c>
    </x:row>
    <x:row r="55">
      <x:c r="A55" s="34" t="n">
        <x:v>50</x:v>
      </x:c>
      <x:c r="B55" s="34" t="str">
        <x:v>P4.12</x:v>
      </x:c>
      <x:c r="C55" s="34" t="str">
        <x:v>P4</x:v>
      </x:c>
      <x:c r="D55" s="34" t="str">
        <x:v>Scenario and session</x:v>
      </x:c>
      <x:c r="E55" s="34" t="str">
        <x:v>G4</x:v>
      </x:c>
      <x:c r="F55" s="34" t="str">
        <x:v>WS-C, WS-F</x:v>
      </x:c>
      <x:c r="G55" s="34" t="str">
        <x:v>Self-check at session start</x:v>
      </x:c>
      <x:c r="H55" s="34" t="str">
        <x:v>Before SessionSetup can proceed: two displays; SteamVR running; both trackers bound and valid for ≥ 2 s; config hashes computed; disk free ≥ 2 GB; logging thread alive; ELTS link reachable (Phase 6; only if the session contains a WE block). Any failure blocks with a specific message.</x:v>
      </x:c>
      <x:c r="I55" s="34" t="str">
        <x:v>G3 passed</x:v>
      </x:c>
      <x:c r="J55" s="34" t="str">
        <x:v>P2.1, P2.3, P2.5, P3.5</x:v>
      </x:c>
      <x:c r="K55" s="34" t="str"/>
      <x:c r="L55" s="34" t="str">
        <x:v>each failure mode produces its message.</x:v>
      </x:c>
      <x:c r="M55" s="34" t="str">
        <x:v>each failure mode produces its message.</x:v>
      </x:c>
      <x:c r="N55" s="34" t="str">
        <x:v>Code, documentation, test evidence, or lab evidence named in the task</x:v>
      </x:c>
      <x:c r="O55" s="34" t="str">
        <x:v>Developer</x:v>
      </x:c>
      <x:c r="P55" s="34" t="str">
        <x:v>agent</x:v>
      </x:c>
      <x:c r="Q55" s="34" t="str">
        <x:v>Study application</x:v>
      </x:c>
      <x:c r="R55" s="34" t="str">
        <x:v>not_started</x:v>
      </x:c>
      <x:c r="S55" s="34" t="str">
        <x:f>IF(COUNTIFS('Atomic Steps'!$C$6:$C$248,B55,'Atomic Steps'!$N$6:$N$248,"blocked")&gt;0,"blocked",IF(COUNTIFS('Atomic Steps'!$C$6:$C$248,B55,'Atomic Steps'!$N$6:$N$248,"in_progress")&gt;0,"in_progress",IF(COUNTIFS('Atomic Steps'!$C$6:$C$248,B55,'Atomic Steps'!$N$6:$N$248,"verification_pending")&gt;0,"verification_pending",IF(COUNTIFS('Atomic Steps'!$C$6:$C$248,B55,'Atomic Steps'!$N$6:$N$248,"done")=COUNTIF('Atomic Steps'!$C$6:$C$248,B55),"done",IF(COUNTIFS('Atomic Steps'!$C$6:$C$248,B55,'Atomic Steps'!$N$6:$N$248,"ready")&gt;0,"ready","not_started")))))</x:f>
        <x:v>not_started</x:v>
      </x:c>
      <x:c r="T55" s="34" t="str"/>
      <x:c r="U55" s="34" t="str"/>
      <x:c r="V55" s="34" t="str"/>
      <x:c r="W55" s="34" t="str">
        <x:v>ELTS Build Plan P4.12</x:v>
      </x:c>
    </x:row>
    <x:row r="56">
      <x:c r="A56" s="10" t="n">
        <x:v>51</x:v>
      </x:c>
      <x:c r="B56" s="10" t="str">
        <x:v>P4.13</x:v>
      </x:c>
      <x:c r="C56" s="10" t="str">
        <x:v>P4</x:v>
      </x:c>
      <x:c r="D56" s="10" t="str">
        <x:v>Scenario and session</x:v>
      </x:c>
      <x:c r="E56" s="10" t="str">
        <x:v>G4</x:v>
      </x:c>
      <x:c r="F56" s="10" t="str">
        <x:v>WS-C, WS-F</x:v>
      </x:c>
      <x:c r="G56" s="10" t="str">
        <x:v>Dry run</x:v>
      </x:c>
      <x:c r="H56" s="10" t="str">
        <x:v>A lab member (no weapon yet — bare tracker on a stick) plays a full four-block session. Run ingest.py on the output.</x:v>
      </x:c>
      <x:c r="I56" s="10" t="str">
        <x:v>G3 passed</x:v>
      </x:c>
      <x:c r="J56" s="10" t="str">
        <x:v>P4.1:P4.12</x:v>
      </x:c>
      <x:c r="K56" s="10" t="str"/>
      <x:c r="L56" s="10" t="str">
        <x:v>summaries look sane; every event type appears.</x:v>
      </x:c>
      <x:c r="M56" s="10" t="str">
        <x:v>summaries look sane; every event type appears.</x:v>
      </x:c>
      <x:c r="N56" s="10" t="str">
        <x:v>dry-run data in secure non-repository storage plus summary</x:v>
      </x:c>
      <x:c r="O56" s="10" t="str">
        <x:v>Developer</x:v>
      </x:c>
      <x:c r="P56" s="10" t="str">
        <x:v>agent</x:v>
      </x:c>
      <x:c r="Q56" s="10" t="str">
        <x:v>Study application</x:v>
      </x:c>
      <x:c r="R56" s="10" t="str">
        <x:v>not_started</x:v>
      </x:c>
      <x:c r="S56" s="10" t="str">
        <x:f>IF(COUNTIFS('Atomic Steps'!$C$6:$C$248,B56,'Atomic Steps'!$N$6:$N$248,"blocked")&gt;0,"blocked",IF(COUNTIFS('Atomic Steps'!$C$6:$C$248,B56,'Atomic Steps'!$N$6:$N$248,"in_progress")&gt;0,"in_progress",IF(COUNTIFS('Atomic Steps'!$C$6:$C$248,B56,'Atomic Steps'!$N$6:$N$248,"verification_pending")&gt;0,"verification_pending",IF(COUNTIFS('Atomic Steps'!$C$6:$C$248,B56,'Atomic Steps'!$N$6:$N$248,"done")=COUNTIF('Atomic Steps'!$C$6:$C$248,B56),"done",IF(COUNTIFS('Atomic Steps'!$C$6:$C$248,B56,'Atomic Steps'!$N$6:$N$248,"ready")&gt;0,"ready","not_started")))))</x:f>
        <x:v>not_started</x:v>
      </x:c>
      <x:c r="T56" s="10" t="str"/>
      <x:c r="U56" s="10" t="str"/>
      <x:c r="V56" s="10" t="str"/>
      <x:c r="W56" s="10" t="str">
        <x:v>ELTS Build Plan P4.13</x:v>
      </x:c>
    </x:row>
    <x:row r="57">
      <x:c r="A57" s="34" t="n">
        <x:v>52</x:v>
      </x:c>
      <x:c r="B57" s="34" t="str">
        <x:v>P5.1</x:v>
      </x:c>
      <x:c r="C57" s="34" t="str">
        <x:v>P5</x:v>
      </x:c>
      <x:c r="D57" s="34" t="str">
        <x:v>Calibration</x:v>
      </x:c>
      <x:c r="E57" s="34" t="str">
        <x:v>G5</x:v>
      </x:c>
      <x:c r="F57" s="34" t="str">
        <x:v>WS-B, WS-C</x:v>
      </x:c>
      <x:c r="G57" s="34" t="str">
        <x:v>Weapon integration</x:v>
      </x:c>
      <x:c r="H57" s="34" t="str">
        <x:v>Mount the WEAPON tracker in its cradle on the rifle; wire the trigger to the pogo board; confirm the trigger reads in the app. Measure muzzleOffset and boreDirection in tracker-local (Unity-convention) coordinates per §13.1.6 and enter them in rig.json. Perform the tap test (§13.1.7).</x:v>
      </x:c>
      <x:c r="I57" s="34" t="str">
        <x:v>G4 passed, mock weapon and pivot probe complete</x:v>
      </x:c>
      <x:c r="J57" s="34" t="str">
        <x:v>P1.11, P1.12, P1.13</x:v>
      </x:c>
      <x:c r="K57" s="34" t="str"/>
      <x:c r="L57" s="34" t="str">
        <x:v>trigger fires Shot; bore ray in the operator view visibly runs along the barrel.</x:v>
      </x:c>
      <x:c r="M57" s="34" t="str">
        <x:v>trigger fires Shot; bore ray in the operator view visibly runs along the barrel.</x:v>
      </x:c>
      <x:c r="N57" s="34" t="str">
        <x:v>Code, documentation, test evidence, or lab evidence named in the task</x:v>
      </x:c>
      <x:c r="O57" s="34" t="str">
        <x:v>Fabricator and developer</x:v>
      </x:c>
      <x:c r="P57" s="34" t="str">
        <x:v>lab_hardware</x:v>
      </x:c>
      <x:c r="Q57" s="34" t="str">
        <x:v>Calibration and fabrication</x:v>
      </x:c>
      <x:c r="R57" s="34" t="str">
        <x:v>not_started</x:v>
      </x:c>
      <x:c r="S57" s="34" t="str">
        <x:f>IF(COUNTIFS('Atomic Steps'!$C$6:$C$248,B57,'Atomic Steps'!$N$6:$N$248,"blocked")&gt;0,"blocked",IF(COUNTIFS('Atomic Steps'!$C$6:$C$248,B57,'Atomic Steps'!$N$6:$N$248,"in_progress")&gt;0,"in_progress",IF(COUNTIFS('Atomic Steps'!$C$6:$C$248,B57,'Atomic Steps'!$N$6:$N$248,"verification_pending")&gt;0,"verification_pending",IF(COUNTIFS('Atomic Steps'!$C$6:$C$248,B57,'Atomic Steps'!$N$6:$N$248,"done")=COUNTIF('Atomic Steps'!$C$6:$C$248,B57),"done",IF(COUNTIFS('Atomic Steps'!$C$6:$C$248,B57,'Atomic Steps'!$N$6:$N$248,"ready")&gt;0,"ready","not_started")))))</x:f>
        <x:v>not_started</x:v>
      </x:c>
      <x:c r="T57" s="34" t="str"/>
      <x:c r="U57" s="34" t="str"/>
      <x:c r="V57" s="34" t="str"/>
      <x:c r="W57" s="34" t="str">
        <x:v>ELTS Build Plan P5.1</x:v>
      </x:c>
    </x:row>
    <x:row r="58">
      <x:c r="A58" s="10" t="n">
        <x:v>53</x:v>
      </x:c>
      <x:c r="B58" s="10" t="str">
        <x:v>P5.2</x:v>
      </x:c>
      <x:c r="C58" s="10" t="str">
        <x:v>P5</x:v>
      </x:c>
      <x:c r="D58" s="10" t="str">
        <x:v>Calibration</x:v>
      </x:c>
      <x:c r="E58" s="10" t="str">
        <x:v>G5</x:v>
      </x:c>
      <x:c r="F58" s="10" t="str">
        <x:v>WS-C, WS-E</x:v>
      </x:c>
      <x:c r="G58" s="10" t="str">
        <x:v>Wizard framework</x:v>
      </x:c>
      <x:c r="H58" s="10" t="str">
        <x:v>A common wizard UI on the operator panel: step title, instruction text, live readout, "capture" button (or auto-capture when a stability criterion is met), result summary with accept/redo. All wizards use it.</x:v>
      </x:c>
      <x:c r="I58" s="10" t="str">
        <x:v>G4 passed, mock weapon and pivot probe complete</x:v>
      </x:c>
      <x:c r="J58" s="10" t="str">
        <x:v>G4, P1.13, P5.1 prerequisites</x:v>
      </x:c>
      <x:c r="K58" s="10" t="str"/>
      <x:c r="L58" s="10" t="str">
        <x:v>Acceptance criteria and required evidence are satisfied and recorded.</x:v>
      </x:c>
      <x:c r="M58" s="10" t="str">
        <x:v>Acceptance criteria and required evidence are satisfied and recorded.</x:v>
      </x:c>
      <x:c r="N58" s="10" t="str">
        <x:v>Code, documentation, test evidence, or lab evidence named in the task</x:v>
      </x:c>
      <x:c r="O58" s="10" t="str">
        <x:v>Developer</x:v>
      </x:c>
      <x:c r="P58" s="10" t="str">
        <x:v>agent</x:v>
      </x:c>
      <x:c r="Q58" s="10" t="str">
        <x:v>Calibration and fabrication</x:v>
      </x:c>
      <x:c r="R58" s="10" t="str">
        <x:v>not_started</x:v>
      </x:c>
      <x:c r="S58" s="10" t="str">
        <x:f>IF(COUNTIFS('Atomic Steps'!$C$6:$C$248,B58,'Atomic Steps'!$N$6:$N$248,"blocked")&gt;0,"blocked",IF(COUNTIFS('Atomic Steps'!$C$6:$C$248,B58,'Atomic Steps'!$N$6:$N$248,"in_progress")&gt;0,"in_progress",IF(COUNTIFS('Atomic Steps'!$C$6:$C$248,B58,'Atomic Steps'!$N$6:$N$248,"verification_pending")&gt;0,"verification_pending",IF(COUNTIFS('Atomic Steps'!$C$6:$C$248,B58,'Atomic Steps'!$N$6:$N$248,"done")=COUNTIF('Atomic Steps'!$C$6:$C$248,B58),"done",IF(COUNTIFS('Atomic Steps'!$C$6:$C$248,B58,'Atomic Steps'!$N$6:$N$248,"ready")&gt;0,"ready","not_started")))))</x:f>
        <x:v>not_started</x:v>
      </x:c>
      <x:c r="T58" s="10" t="str"/>
      <x:c r="U58" s="10" t="str"/>
      <x:c r="V58" s="10" t="str"/>
      <x:c r="W58" s="10" t="str">
        <x:v>ELTS Build Plan P5.2</x:v>
      </x:c>
    </x:row>
    <x:row r="59">
      <x:c r="A59" s="34" t="n">
        <x:v>54</x:v>
      </x:c>
      <x:c r="B59" s="34" t="str">
        <x:v>P5.3</x:v>
      </x:c>
      <x:c r="C59" s="34" t="str">
        <x:v>P5</x:v>
      </x:c>
      <x:c r="D59" s="34" t="str">
        <x:v>Calibration</x:v>
      </x:c>
      <x:c r="E59" s="34" t="str">
        <x:v>G5</x:v>
      </x:c>
      <x:c r="F59" s="34" t="str">
        <x:v>WS-C, WS-E</x:v>
      </x:c>
      <x:c r="G59" s="34" t="str">
        <x:v>Pivot calibration wizard (once per rig)</x:v>
      </x:c>
      <x:c r="H59" s="34" t="str">
        <x:v>Head tracker on the pivot probe, tip held in a dimple; operator rotates it through ≥ ±30° in two axes while the wizard captures ≥ 200 valid samples; solve per Appendix F.4; report tip offset and RMS residual (accept if residual &lt; 2 mm — provisional, see D-17). Writes probeTipOffset to calibration_rig.json.</x:v>
      </x:c>
      <x:c r="I59" s="34" t="str">
        <x:v>G4 passed, mock weapon and pivot probe complete</x:v>
      </x:c>
      <x:c r="J59" s="34" t="str">
        <x:v>P5.2, P1.13</x:v>
      </x:c>
      <x:c r="K59" s="34" t="str">
        <x:v>D-17</x:v>
      </x:c>
      <x:c r="L59" s="34" t="str">
        <x:v>repeat twice; tip offsets agree within 1 mm.</x:v>
      </x:c>
      <x:c r="M59" s="34" t="str">
        <x:v>repeat twice; tip offsets agree within 1 mm.</x:v>
      </x:c>
      <x:c r="N59" s="34" t="str">
        <x:v>calibration wizard and residual evidence</x:v>
      </x:c>
      <x:c r="O59" s="34" t="str">
        <x:v>Developer</x:v>
      </x:c>
      <x:c r="P59" s="34" t="str">
        <x:v>lab_hardware</x:v>
      </x:c>
      <x:c r="Q59" s="34" t="str">
        <x:v>Calibration and fabrication</x:v>
      </x:c>
      <x:c r="R59" s="34" t="str">
        <x:v>not_started</x:v>
      </x:c>
      <x:c r="S59" s="34" t="str">
        <x:f>IF(COUNTIFS('Atomic Steps'!$C$6:$C$248,B59,'Atomic Steps'!$N$6:$N$248,"blocked")&gt;0,"blocked",IF(COUNTIFS('Atomic Steps'!$C$6:$C$248,B59,'Atomic Steps'!$N$6:$N$248,"in_progress")&gt;0,"in_progress",IF(COUNTIFS('Atomic Steps'!$C$6:$C$248,B59,'Atomic Steps'!$N$6:$N$248,"verification_pending")&gt;0,"verification_pending",IF(COUNTIFS('Atomic Steps'!$C$6:$C$248,B59,'Atomic Steps'!$N$6:$N$248,"done")=COUNTIF('Atomic Steps'!$C$6:$C$248,B59),"done",IF(COUNTIFS('Atomic Steps'!$C$6:$C$248,B59,'Atomic Steps'!$N$6:$N$248,"ready")&gt;0,"ready","not_started")))))</x:f>
        <x:v>not_started</x:v>
      </x:c>
      <x:c r="T59" s="34" t="str"/>
      <x:c r="U59" s="34" t="str"/>
      <x:c r="V59" s="34" t="str"/>
      <x:c r="W59" s="34" t="str">
        <x:v>ELTS Build Plan P5.3</x:v>
      </x:c>
    </x:row>
    <x:row r="60">
      <x:c r="A60" s="10" t="n">
        <x:v>55</x:v>
      </x:c>
      <x:c r="B60" s="10" t="str">
        <x:v>P5.4</x:v>
      </x:c>
      <x:c r="C60" s="10" t="str">
        <x:v>P5</x:v>
      </x:c>
      <x:c r="D60" s="10" t="str">
        <x:v>Calibration</x:v>
      </x:c>
      <x:c r="E60" s="10" t="str">
        <x:v>G5</x:v>
      </x:c>
      <x:c r="F60" s="10" t="str">
        <x:v>WS-C, WS-E</x:v>
      </x:c>
      <x:c r="G60" s="10" t="str">
        <x:v>Corner probe wizard (once per rig, and after any display or base station move)</x:v>
      </x:c>
      <x:c r="H60" s="10" t="str">
        <x:v>Touch top-left, top-right, bottom-left (and bottom-right as a consistency check) with the probe tip; each capture averages 1 s of valid samples; derive O, U, V per Appendix F.7; orthogonalize V against U preserving |V|; report |U|, |V| vs. the measured physical size (accept within 5 mm — provisional), the U–V angle (accept 90° ± 0.5° — provisional), and the bottom-right consistency error. Writes to calibration_rig.json with a timestamp. Refreshes the physical/virtual corner rods.</x:v>
      </x:c>
      <x:c r="I60" s="10" t="str">
        <x:v>G4 passed, mock weapon and pivot probe complete</x:v>
      </x:c>
      <x:c r="J60" s="10" t="str">
        <x:v>P5.2, P5.3</x:v>
      </x:c>
      <x:c r="K60" s="10" t="str"/>
      <x:c r="L60" s="10" t="str">
        <x:v>corner rods align from three viewpoints using the probed values rather than the P3.1 tape-measure values.</x:v>
      </x:c>
      <x:c r="M60" s="10" t="str">
        <x:v>corner rods align from three viewpoints using the probed values rather than the P3.1 tape-measure values.</x:v>
      </x:c>
      <x:c r="N60" s="10" t="str">
        <x:v>calibration_rig output and rod evidence</x:v>
      </x:c>
      <x:c r="O60" s="10" t="str">
        <x:v>Developer</x:v>
      </x:c>
      <x:c r="P60" s="10" t="str">
        <x:v>lab_hardware</x:v>
      </x:c>
      <x:c r="Q60" s="10" t="str">
        <x:v>Calibration and fabrication</x:v>
      </x:c>
      <x:c r="R60" s="10" t="str">
        <x:v>not_started</x:v>
      </x:c>
      <x:c r="S60" s="10" t="str">
        <x:f>IF(COUNTIFS('Atomic Steps'!$C$6:$C$248,B60,'Atomic Steps'!$N$6:$N$248,"blocked")&gt;0,"blocked",IF(COUNTIFS('Atomic Steps'!$C$6:$C$248,B60,'Atomic Steps'!$N$6:$N$248,"in_progress")&gt;0,"in_progress",IF(COUNTIFS('Atomic Steps'!$C$6:$C$248,B60,'Atomic Steps'!$N$6:$N$248,"verification_pending")&gt;0,"verification_pending",IF(COUNTIFS('Atomic Steps'!$C$6:$C$248,B60,'Atomic Steps'!$N$6:$N$248,"done")=COUNTIF('Atomic Steps'!$C$6:$C$248,B60),"done",IF(COUNTIFS('Atomic Steps'!$C$6:$C$248,B60,'Atomic Steps'!$N$6:$N$248,"ready")&gt;0,"ready","not_started")))))</x:f>
        <x:v>not_started</x:v>
      </x:c>
      <x:c r="T60" s="10" t="str"/>
      <x:c r="U60" s="10" t="str"/>
      <x:c r="V60" s="10" t="str"/>
      <x:c r="W60" s="10" t="str">
        <x:v>ELTS Build Plan P5.4</x:v>
      </x:c>
    </x:row>
    <x:row r="61">
      <x:c r="A61" s="34" t="n">
        <x:v>56</x:v>
      </x:c>
      <x:c r="B61" s="34" t="str">
        <x:v>P5.5</x:v>
      </x:c>
      <x:c r="C61" s="34" t="str">
        <x:v>P5</x:v>
      </x:c>
      <x:c r="D61" s="34" t="str">
        <x:v>Calibration</x:v>
      </x:c>
      <x:c r="E61" s="34" t="str">
        <x:v>G5</x:v>
      </x:c>
      <x:c r="F61" s="34" t="str">
        <x:v>WS-C, WS-E</x:v>
      </x:c>
      <x:c r="G61" s="34" t="str">
        <x:v>Dominant-eye determination (per participant)</x:v>
      </x:c>
      <x:c r="H61" s="34" t="str">
        <x:v>Instruction screen for the Miles test (Appendix C.3); operator records L/R into the participant record. Determines which eye the offset is calibrated to.</x:v>
      </x:c>
      <x:c r="I61" s="34" t="str">
        <x:v>G4 passed, mock weapon and pivot probe complete</x:v>
      </x:c>
      <x:c r="J61" s="34" t="str">
        <x:v>P5.2</x:v>
      </x:c>
      <x:c r="K61" s="34" t="str"/>
      <x:c r="L61" s="34" t="str">
        <x:v>Acceptance criteria and required evidence are satisfied and recorded.</x:v>
      </x:c>
      <x:c r="M61" s="34" t="str">
        <x:v>Acceptance criteria and required evidence are satisfied and recorded.</x:v>
      </x:c>
      <x:c r="N61" s="34" t="str">
        <x:v>Code, documentation, test evidence, or lab evidence named in the task</x:v>
      </x:c>
      <x:c r="O61" s="34" t="str">
        <x:v>Developer</x:v>
      </x:c>
      <x:c r="P61" s="34" t="str">
        <x:v>lab_hardware</x:v>
      </x:c>
      <x:c r="Q61" s="34" t="str">
        <x:v>Calibration and fabrication</x:v>
      </x:c>
      <x:c r="R61" s="34" t="str">
        <x:v>not_started</x:v>
      </x:c>
      <x:c r="S61" s="34" t="str">
        <x:f>IF(COUNTIFS('Atomic Steps'!$C$6:$C$248,B61,'Atomic Steps'!$N$6:$N$248,"blocked")&gt;0,"blocked",IF(COUNTIFS('Atomic Steps'!$C$6:$C$248,B61,'Atomic Steps'!$N$6:$N$248,"in_progress")&gt;0,"in_progress",IF(COUNTIFS('Atomic Steps'!$C$6:$C$248,B61,'Atomic Steps'!$N$6:$N$248,"verification_pending")&gt;0,"verification_pending",IF(COUNTIFS('Atomic Steps'!$C$6:$C$248,B61,'Atomic Steps'!$N$6:$N$248,"done")=COUNTIF('Atomic Steps'!$C$6:$C$248,B61),"done",IF(COUNTIFS('Atomic Steps'!$C$6:$C$248,B61,'Atomic Steps'!$N$6:$N$248,"ready")&gt;0,"ready","not_started")))))</x:f>
        <x:v>not_started</x:v>
      </x:c>
      <x:c r="T61" s="34" t="str"/>
      <x:c r="U61" s="34" t="str"/>
      <x:c r="V61" s="34" t="str"/>
      <x:c r="W61" s="34" t="str">
        <x:v>ELTS Build Plan P5.5</x:v>
      </x:c>
    </x:row>
    <x:row r="62">
      <x:c r="A62" s="10" t="n">
        <x:v>57</x:v>
      </x:c>
      <x:c r="B62" s="10" t="str">
        <x:v>P5.6</x:v>
      </x:c>
      <x:c r="C62" s="10" t="str">
        <x:v>P5</x:v>
      </x:c>
      <x:c r="D62" s="10" t="str">
        <x:v>Calibration</x:v>
      </x:c>
      <x:c r="E62" s="10" t="str">
        <x:v>G5</x:v>
      </x:c>
      <x:c r="F62" s="10" t="str">
        <x:v>WS-C, WS-E</x:v>
      </x:c>
      <x:c r="G62" s="10" t="str">
        <x:v>Eye-offset entry (per participant)</x:v>
      </x:c>
      <x:c r="H62" s="10" t="str">
        <x:v>Operator measures and enters the three tracker-to-dominant-eye offsets per Appendix C.4 (ruler method); the wizard shows the resulting eye marker in the operator view for a sanity check against the participant's actual eye. Written to calibration.json in the participant folder. (An optional line-of-sight refinement is described in Appendix C.4 and is adopted only if D-17's residual thresholds cannot be met with the ruler method.)</x:v>
      </x:c>
      <x:c r="I62" s="10" t="str">
        <x:v>G4 passed, mock weapon and pivot probe complete</x:v>
      </x:c>
      <x:c r="J62" s="10" t="str">
        <x:v>P5.2, P5.5</x:v>
      </x:c>
      <x:c r="K62" s="10" t="str">
        <x:v>D-17</x:v>
      </x:c>
      <x:c r="L62" s="10" t="str">
        <x:v>Acceptance criteria and required evidence are satisfied and recorded.</x:v>
      </x:c>
      <x:c r="M62" s="10" t="str">
        <x:v>Acceptance criteria and required evidence are satisfied and recorded.</x:v>
      </x:c>
      <x:c r="N62" s="10" t="str">
        <x:v>Code, documentation, test evidence, or lab evidence named in the task</x:v>
      </x:c>
      <x:c r="O62" s="10" t="str">
        <x:v>Developer</x:v>
      </x:c>
      <x:c r="P62" s="10" t="str">
        <x:v>lab_hardware</x:v>
      </x:c>
      <x:c r="Q62" s="10" t="str">
        <x:v>Calibration and fabrication</x:v>
      </x:c>
      <x:c r="R62" s="10" t="str">
        <x:v>not_started</x:v>
      </x:c>
      <x:c r="S62" s="10" t="str">
        <x:f>IF(COUNTIFS('Atomic Steps'!$C$6:$C$248,B62,'Atomic Steps'!$N$6:$N$248,"blocked")&gt;0,"blocked",IF(COUNTIFS('Atomic Steps'!$C$6:$C$248,B62,'Atomic Steps'!$N$6:$N$248,"in_progress")&gt;0,"in_progress",IF(COUNTIFS('Atomic Steps'!$C$6:$C$248,B62,'Atomic Steps'!$N$6:$N$248,"verification_pending")&gt;0,"verification_pending",IF(COUNTIFS('Atomic Steps'!$C$6:$C$248,B62,'Atomic Steps'!$N$6:$N$248,"done")=COUNTIF('Atomic Steps'!$C$6:$C$248,B62),"done",IF(COUNTIFS('Atomic Steps'!$C$6:$C$248,B62,'Atomic Steps'!$N$6:$N$248,"ready")&gt;0,"ready","not_started")))))</x:f>
        <x:v>not_started</x:v>
      </x:c>
      <x:c r="T62" s="10" t="str"/>
      <x:c r="U62" s="10" t="str"/>
      <x:c r="V62" s="10" t="str"/>
      <x:c r="W62" s="10" t="str">
        <x:v>ELTS Build Plan P5.6</x:v>
      </x:c>
    </x:row>
    <x:row r="63">
      <x:c r="A63" s="34" t="n">
        <x:v>58</x:v>
      </x:c>
      <x:c r="B63" s="34" t="str">
        <x:v>P5.7</x:v>
      </x:c>
      <x:c r="C63" s="34" t="str">
        <x:v>P5</x:v>
      </x:c>
      <x:c r="D63" s="34" t="str">
        <x:v>Calibration</x:v>
      </x:c>
      <x:c r="E63" s="34" t="str">
        <x:v>G5</x:v>
      </x:c>
      <x:c r="F63" s="34" t="str">
        <x:v>WS-C, WS-E</x:v>
      </x:c>
      <x:c r="G63" s="34" t="str">
        <x:v>Weapon zero wizard (per participant)</x:v>
      </x:c>
      <x:c r="H63" s="34" t="str">
        <x:v>Participant shoulders the rifle naturally and holds the sights on a rendered center dot; when the pose has been valid and angular velocity below a threshold for 2 s, the wizard captures 2 s of samples and solves per Appendix F.5. Reports the correction angle (warn if &gt; 5° — indicates a mount or sighting problem) and writes zeroCorrection to the participant's calibration.json.</x:v>
      </x:c>
      <x:c r="I63" s="34" t="str">
        <x:v>G4 passed, mock weapon and pivot probe complete</x:v>
      </x:c>
      <x:c r="J63" s="34" t="str">
        <x:v>P5.1, P5.2, P5.4</x:v>
      </x:c>
      <x:c r="K63" s="34" t="str"/>
      <x:c r="L63" s="34" t="str">
        <x:v>after zeroing, the bore-ray marker sits on the center dot when the participant holds on it.</x:v>
      </x:c>
      <x:c r="M63" s="34" t="str">
        <x:v>after zeroing, the bore-ray marker sits on the center dot when the participant holds on it.</x:v>
      </x:c>
      <x:c r="N63" s="34" t="str">
        <x:v>Code, documentation, test evidence, or lab evidence named in the task</x:v>
      </x:c>
      <x:c r="O63" s="34" t="str">
        <x:v>Developer</x:v>
      </x:c>
      <x:c r="P63" s="34" t="str">
        <x:v>lab_hardware</x:v>
      </x:c>
      <x:c r="Q63" s="34" t="str">
        <x:v>Calibration and fabrication</x:v>
      </x:c>
      <x:c r="R63" s="34" t="str">
        <x:v>not_started</x:v>
      </x:c>
      <x:c r="S63" s="34" t="str">
        <x:f>IF(COUNTIFS('Atomic Steps'!$C$6:$C$248,B63,'Atomic Steps'!$N$6:$N$248,"blocked")&gt;0,"blocked",IF(COUNTIFS('Atomic Steps'!$C$6:$C$248,B63,'Atomic Steps'!$N$6:$N$248,"in_progress")&gt;0,"in_progress",IF(COUNTIFS('Atomic Steps'!$C$6:$C$248,B63,'Atomic Steps'!$N$6:$N$248,"verification_pending")&gt;0,"verification_pending",IF(COUNTIFS('Atomic Steps'!$C$6:$C$248,B63,'Atomic Steps'!$N$6:$N$248,"done")=COUNTIF('Atomic Steps'!$C$6:$C$248,B63),"done",IF(COUNTIFS('Atomic Steps'!$C$6:$C$248,B63,'Atomic Steps'!$N$6:$N$248,"ready")&gt;0,"ready","not_started")))))</x:f>
        <x:v>not_started</x:v>
      </x:c>
      <x:c r="T63" s="34" t="str"/>
      <x:c r="U63" s="34" t="str"/>
      <x:c r="V63" s="34" t="str"/>
      <x:c r="W63" s="34" t="str">
        <x:v>ELTS Build Plan P5.7</x:v>
      </x:c>
    </x:row>
    <x:row r="64">
      <x:c r="A64" s="10" t="n">
        <x:v>59</x:v>
      </x:c>
      <x:c r="B64" s="10" t="str">
        <x:v>P5.8</x:v>
      </x:c>
      <x:c r="C64" s="10" t="str">
        <x:v>P5</x:v>
      </x:c>
      <x:c r="D64" s="10" t="str">
        <x:v>Calibration</x:v>
      </x:c>
      <x:c r="E64" s="10" t="str">
        <x:v>G5</x:v>
      </x:c>
      <x:c r="F64" s="10" t="str">
        <x:v>WS-C, WS-E</x:v>
      </x:c>
      <x:c r="G64" s="10" t="str">
        <x:v>3×3 verification wizard (per participant)</x:v>
      </x:c>
      <x:c r="H64" s="10" t="str">
        <x:v>Nine dots at known world positions on the screen plane (config). Participant aims at each from a supported rest and pulls the trigger; the wizard records the angular residual per dot, mean, max, and writes them to calibration.json and to a Verification event. Accept if mean ≤ 1.0° and max ≤ 2.0° (provisional — D-17); otherwise offer re-zero.</x:v>
      </x:c>
      <x:c r="I64" s="10" t="str">
        <x:v>G4 passed, mock weapon and pivot probe complete</x:v>
      </x:c>
      <x:c r="J64" s="10" t="str">
        <x:v>P5.4, P5.7</x:v>
      </x:c>
      <x:c r="K64" s="10" t="str">
        <x:v>D-17</x:v>
      </x:c>
      <x:c r="L64" s="10" t="str">
        <x:v>three lab members complete it; residuals recorded.</x:v>
      </x:c>
      <x:c r="M64" s="10" t="str">
        <x:v>three lab members complete it; residuals recorded.</x:v>
      </x:c>
      <x:c r="N64" s="10" t="str">
        <x:v>verification outputs</x:v>
      </x:c>
      <x:c r="O64" s="10" t="str">
        <x:v>Developer</x:v>
      </x:c>
      <x:c r="P64" s="10" t="str">
        <x:v>lab_hardware</x:v>
      </x:c>
      <x:c r="Q64" s="10" t="str">
        <x:v>Calibration and fabrication</x:v>
      </x:c>
      <x:c r="R64" s="10" t="str">
        <x:v>not_started</x:v>
      </x:c>
      <x:c r="S64" s="10" t="str">
        <x:f>IF(COUNTIFS('Atomic Steps'!$C$6:$C$248,B64,'Atomic Steps'!$N$6:$N$248,"blocked")&gt;0,"blocked",IF(COUNTIFS('Atomic Steps'!$C$6:$C$248,B64,'Atomic Steps'!$N$6:$N$248,"in_progress")&gt;0,"in_progress",IF(COUNTIFS('Atomic Steps'!$C$6:$C$248,B64,'Atomic Steps'!$N$6:$N$248,"verification_pending")&gt;0,"verification_pending",IF(COUNTIFS('Atomic Steps'!$C$6:$C$248,B64,'Atomic Steps'!$N$6:$N$248,"done")=COUNTIF('Atomic Steps'!$C$6:$C$248,B64),"done",IF(COUNTIFS('Atomic Steps'!$C$6:$C$248,B64,'Atomic Steps'!$N$6:$N$248,"ready")&gt;0,"ready","not_started")))))</x:f>
        <x:v>not_started</x:v>
      </x:c>
      <x:c r="T64" s="10" t="str"/>
      <x:c r="U64" s="10" t="str"/>
      <x:c r="V64" s="10" t="str"/>
      <x:c r="W64" s="10" t="str">
        <x:v>ELTS Build Plan P5.8</x:v>
      </x:c>
    </x:row>
    <x:row r="65">
      <x:c r="A65" s="34" t="n">
        <x:v>60</x:v>
      </x:c>
      <x:c r="B65" s="34" t="str">
        <x:v>P5.9</x:v>
      </x:c>
      <x:c r="C65" s="34" t="str">
        <x:v>P5</x:v>
      </x:c>
      <x:c r="D65" s="34" t="str">
        <x:v>Calibration</x:v>
      </x:c>
      <x:c r="E65" s="34" t="str">
        <x:v>G5</x:v>
      </x:c>
      <x:c r="F65" s="34" t="str">
        <x:v>WS-C, WS-E</x:v>
      </x:c>
      <x:c r="G65" s="34" t="str">
        <x:v>Daily rig check (bore laser)</x:v>
      </x:c>
      <x:c r="H65" s="34" t="str">
        <x:v>A separate one-minute procedure (Appendix C.6; includes a one-time laserZero capture) using a laser bore-sighter in the muzzle, checked at 5 points, that verifies the apparatus registration without any human sighting error. Run at the start of every data-collection day; result logged to a rig_checks.csv. This is the early warning that the base station or display has shifted.</x:v>
      </x:c>
      <x:c r="I65" s="34" t="str">
        <x:v>G4 passed, mock weapon and pivot probe complete</x:v>
      </x:c>
      <x:c r="J65" s="34" t="str">
        <x:v>P5.1, P5.4</x:v>
      </x:c>
      <x:c r="K65" s="34" t="str"/>
      <x:c r="L65" s="34" t="str">
        <x:v>procedure written; two consecutive days of checks agree within the provisional threshold.</x:v>
      </x:c>
      <x:c r="M65" s="34" t="str">
        <x:v>procedure written; two consecutive days of checks agree within the provisional threshold.</x:v>
      </x:c>
      <x:c r="N65" s="34" t="str">
        <x:v>rig_checks.csv outside Git plus procedure</x:v>
      </x:c>
      <x:c r="O65" s="34" t="str">
        <x:v>Developer</x:v>
      </x:c>
      <x:c r="P65" s="34" t="str">
        <x:v>lab_hardware</x:v>
      </x:c>
      <x:c r="Q65" s="34" t="str">
        <x:v>Calibration and fabrication</x:v>
      </x:c>
      <x:c r="R65" s="34" t="str">
        <x:v>not_started</x:v>
      </x:c>
      <x:c r="S65" s="34" t="str">
        <x:f>IF(COUNTIFS('Atomic Steps'!$C$6:$C$248,B65,'Atomic Steps'!$N$6:$N$248,"blocked")&gt;0,"blocked",IF(COUNTIFS('Atomic Steps'!$C$6:$C$248,B65,'Atomic Steps'!$N$6:$N$248,"in_progress")&gt;0,"in_progress",IF(COUNTIFS('Atomic Steps'!$C$6:$C$248,B65,'Atomic Steps'!$N$6:$N$248,"verification_pending")&gt;0,"verification_pending",IF(COUNTIFS('Atomic Steps'!$C$6:$C$248,B65,'Atomic Steps'!$N$6:$N$248,"done")=COUNTIF('Atomic Steps'!$C$6:$C$248,B65),"done",IF(COUNTIFS('Atomic Steps'!$C$6:$C$248,B65,'Atomic Steps'!$N$6:$N$248,"ready")&gt;0,"ready","not_started")))))</x:f>
        <x:v>not_started</x:v>
      </x:c>
      <x:c r="T65" s="34" t="str"/>
      <x:c r="U65" s="34" t="str"/>
      <x:c r="V65" s="34" t="str"/>
      <x:c r="W65" s="34" t="str">
        <x:v>ELTS Build Plan P5.9</x:v>
      </x:c>
    </x:row>
    <x:row r="66">
      <x:c r="A66" s="10" t="n">
        <x:v>61</x:v>
      </x:c>
      <x:c r="B66" s="10" t="str">
        <x:v>P5.10</x:v>
      </x:c>
      <x:c r="C66" s="10" t="str">
        <x:v>P5</x:v>
      </x:c>
      <x:c r="D66" s="10" t="str">
        <x:v>Calibration</x:v>
      </x:c>
      <x:c r="E66" s="10" t="str">
        <x:v>G5</x:v>
      </x:c>
      <x:c r="F66" s="10" t="str">
        <x:v>WS-C, WS-E</x:v>
      </x:c>
      <x:c r="G66" s="10" t="str">
        <x:v>Calibration state in the session flow</x:v>
      </x:c>
      <x:c r="H66" s="10" t="str">
        <x:v>Wire P5.5–P5.8 into the Calibration state (P4.10). The session cannot advance to Practice until zero and verification are recorded (operator override with a logged reason is allowed).</x:v>
      </x:c>
      <x:c r="I66" s="10" t="str">
        <x:v>G4 passed, mock weapon and pivot probe complete</x:v>
      </x:c>
      <x:c r="J66" s="10" t="str">
        <x:v>P4.10, P5.5, P5.6, P5.7, P5.8</x:v>
      </x:c>
      <x:c r="K66" s="10" t="str"/>
      <x:c r="L66" s="10" t="str">
        <x:v>Acceptance criteria and required evidence are satisfied and recorded.</x:v>
      </x:c>
      <x:c r="M66" s="10" t="str">
        <x:v>Acceptance criteria and required evidence are satisfied and recorded.</x:v>
      </x:c>
      <x:c r="N66" s="10" t="str">
        <x:v>Code, documentation, test evidence, or lab evidence named in the task</x:v>
      </x:c>
      <x:c r="O66" s="10" t="str">
        <x:v>Developer</x:v>
      </x:c>
      <x:c r="P66" s="10" t="str">
        <x:v>lab_hardware</x:v>
      </x:c>
      <x:c r="Q66" s="10" t="str">
        <x:v>Calibration and fabrication</x:v>
      </x:c>
      <x:c r="R66" s="10" t="str">
        <x:v>not_started</x:v>
      </x:c>
      <x:c r="S66" s="10" t="str">
        <x:f>IF(COUNTIFS('Atomic Steps'!$C$6:$C$248,B66,'Atomic Steps'!$N$6:$N$248,"blocked")&gt;0,"blocked",IF(COUNTIFS('Atomic Steps'!$C$6:$C$248,B66,'Atomic Steps'!$N$6:$N$248,"in_progress")&gt;0,"in_progress",IF(COUNTIFS('Atomic Steps'!$C$6:$C$248,B66,'Atomic Steps'!$N$6:$N$248,"verification_pending")&gt;0,"verification_pending",IF(COUNTIFS('Atomic Steps'!$C$6:$C$248,B66,'Atomic Steps'!$N$6:$N$248,"done")=COUNTIF('Atomic Steps'!$C$6:$C$248,B66),"done",IF(COUNTIFS('Atomic Steps'!$C$6:$C$248,B66,'Atomic Steps'!$N$6:$N$248,"ready")&gt;0,"ready","not_started")))))</x:f>
        <x:v>not_started</x:v>
      </x:c>
      <x:c r="T66" s="10" t="str"/>
      <x:c r="U66" s="10" t="str"/>
      <x:c r="V66" s="10" t="str"/>
      <x:c r="W66" s="10" t="str">
        <x:v>ELTS Build Plan P5.10</x:v>
      </x:c>
    </x:row>
    <x:row r="67">
      <x:c r="A67" s="34" t="n">
        <x:v>62</x:v>
      </x:c>
      <x:c r="B67" s="34" t="str">
        <x:v>P6.1</x:v>
      </x:c>
      <x:c r="C67" s="34" t="str">
        <x:v>P6</x:v>
      </x:c>
      <x:c r="D67" s="34" t="str">
        <x:v>ELTS integration</x:v>
      </x:c>
      <x:c r="E67" s="34" t="str">
        <x:v>G6</x:v>
      </x:c>
      <x:c r="F67" s="34" t="str">
        <x:v>WS-C, WS-D</x:v>
      </x:c>
      <x:c r="G67" s="34" t="str">
        <x:v>IEltsLink interface and protocol codec</x:v>
      </x:c>
      <x:c r="H67" s="34" t="str">
        <x:v>Interface: Connect(), Arm() (optional, see §14), Start(blockContext), Stop(), Ping(), Status, connection events. Newline-delimited JSON messages per §14.2 — identical regardless of transport.</x:v>
      </x:c>
      <x:c r="I67" s="34" t="str">
        <x:v>G4 passed, D-03 and D-10 decided, ELTS owner available</x:v>
      </x:c>
      <x:c r="J67" s="34" t="str">
        <x:v>G4, D-03, D-10</x:v>
      </x:c>
      <x:c r="K67" s="34" t="str"/>
      <x:c r="L67" s="34" t="str">
        <x:v>Acceptance criteria and required evidence are satisfied and recorded.</x:v>
      </x:c>
      <x:c r="M67" s="34" t="str">
        <x:v>Acceptance criteria and required evidence are satisfied and recorded.</x:v>
      </x:c>
      <x:c r="N67" s="34" t="str">
        <x:v>protocol schema and codec</x:v>
      </x:c>
      <x:c r="O67" s="34" t="str">
        <x:v>Developer</x:v>
      </x:c>
      <x:c r="P67" s="34" t="str">
        <x:v>agent</x:v>
      </x:c>
      <x:c r="Q67" s="34" t="str">
        <x:v>Unity and Jetson integration</x:v>
      </x:c>
      <x:c r="R67" s="34" t="str">
        <x:v>not_started</x:v>
      </x:c>
      <x:c r="S67" s="34" t="str">
        <x:f>IF(COUNTIFS('Atomic Steps'!$C$6:$C$248,B67,'Atomic Steps'!$N$6:$N$248,"blocked")&gt;0,"blocked",IF(COUNTIFS('Atomic Steps'!$C$6:$C$248,B67,'Atomic Steps'!$N$6:$N$248,"in_progress")&gt;0,"in_progress",IF(COUNTIFS('Atomic Steps'!$C$6:$C$248,B67,'Atomic Steps'!$N$6:$N$248,"verification_pending")&gt;0,"verification_pending",IF(COUNTIFS('Atomic Steps'!$C$6:$C$248,B67,'Atomic Steps'!$N$6:$N$248,"done")=COUNTIF('Atomic Steps'!$C$6:$C$248,B67),"done",IF(COUNTIFS('Atomic Steps'!$C$6:$C$248,B67,'Atomic Steps'!$N$6:$N$248,"ready")&gt;0,"ready","not_started")))))</x:f>
        <x:v>not_started</x:v>
      </x:c>
      <x:c r="T67" s="34" t="str"/>
      <x:c r="U67" s="34" t="str"/>
      <x:c r="V67" s="34" t="str"/>
      <x:c r="W67" s="34" t="str">
        <x:v>ELTS Build Plan P6.1</x:v>
      </x:c>
    </x:row>
    <x:row r="68">
      <x:c r="A68" s="10" t="n">
        <x:v>63</x:v>
      </x:c>
      <x:c r="B68" s="10" t="str">
        <x:v>P6.2</x:v>
      </x:c>
      <x:c r="C68" s="10" t="str">
        <x:v>P6</x:v>
      </x:c>
      <x:c r="D68" s="10" t="str">
        <x:v>ELTS integration</x:v>
      </x:c>
      <x:c r="E68" s="10" t="str">
        <x:v>G6</x:v>
      </x:c>
      <x:c r="F68" s="10" t="str">
        <x:v>WS-C, WS-D</x:v>
      </x:c>
      <x:c r="G68" s="10" t="str">
        <x:v>Transport implementation for the D-03 choice</x:v>
      </x:c>
      <x:c r="H68" s="10" t="str">
        <x:v>One class per transport (SerialEltsLink, UdpEltsLink, MqttEltsLink, …); only the chosen one needs to be built, but the interface must allow another to be dropped in.</x:v>
      </x:c>
      <x:c r="I68" s="10" t="str">
        <x:v>G4 passed, D-03 and D-10 decided, ELTS owner available</x:v>
      </x:c>
      <x:c r="J68" s="10" t="str">
        <x:v>P6.1, D-03</x:v>
      </x:c>
      <x:c r="K68" s="10" t="str">
        <x:v>D-03</x:v>
      </x:c>
      <x:c r="L68" s="10" t="str">
        <x:v>Acceptance criteria and required evidence are satisfied and recorded.</x:v>
      </x:c>
      <x:c r="M68" s="10" t="str">
        <x:v>Acceptance criteria and required evidence are satisfied and recorded.</x:v>
      </x:c>
      <x:c r="N68" s="10" t="str">
        <x:v>transport adapters</x:v>
      </x:c>
      <x:c r="O68" s="10" t="str">
        <x:v>Developer</x:v>
      </x:c>
      <x:c r="P68" s="10" t="str">
        <x:v>agent</x:v>
      </x:c>
      <x:c r="Q68" s="10" t="str">
        <x:v>Unity and Jetson integration</x:v>
      </x:c>
      <x:c r="R68" s="10" t="str">
        <x:v>not_started</x:v>
      </x:c>
      <x:c r="S68" s="10" t="str">
        <x:f>IF(COUNTIFS('Atomic Steps'!$C$6:$C$248,B68,'Atomic Steps'!$N$6:$N$248,"blocked")&gt;0,"blocked",IF(COUNTIFS('Atomic Steps'!$C$6:$C$248,B68,'Atomic Steps'!$N$6:$N$248,"in_progress")&gt;0,"in_progress",IF(COUNTIFS('Atomic Steps'!$C$6:$C$248,B68,'Atomic Steps'!$N$6:$N$248,"verification_pending")&gt;0,"verification_pending",IF(COUNTIFS('Atomic Steps'!$C$6:$C$248,B68,'Atomic Steps'!$N$6:$N$248,"done")=COUNTIF('Atomic Steps'!$C$6:$C$248,B68),"done",IF(COUNTIFS('Atomic Steps'!$C$6:$C$248,B68,'Atomic Steps'!$N$6:$N$248,"ready")&gt;0,"ready","not_started")))))</x:f>
        <x:v>not_started</x:v>
      </x:c>
      <x:c r="T68" s="10" t="str"/>
      <x:c r="U68" s="10" t="str"/>
      <x:c r="V68" s="10" t="str"/>
      <x:c r="W68" s="10" t="str">
        <x:v>ELTS Build Plan P6.2</x:v>
      </x:c>
    </x:row>
    <x:row r="69">
      <x:c r="A69" s="34" t="n">
        <x:v>64</x:v>
      </x:c>
      <x:c r="B69" s="34" t="str">
        <x:v>P6.3</x:v>
      </x:c>
      <x:c r="C69" s="34" t="str">
        <x:v>P6</x:v>
      </x:c>
      <x:c r="D69" s="34" t="str">
        <x:v>ELTS integration</x:v>
      </x:c>
      <x:c r="E69" s="34" t="str">
        <x:v>G6</x:v>
      </x:c>
      <x:c r="F69" s="34" t="str">
        <x:v>WS-C, WS-D</x:v>
      </x:c>
      <x:c r="G69" s="34" t="str">
        <x:v>Timestamping and alignment</x:v>
      </x:c>
      <x:c r="H69" s="34" t="str">
        <x:v>On every command: log t_unity_sent; on ack: log t_unity_ack and the Jetson's t_jetson; estimate offset as ((t_unity_sent + t_unity_ack)/2) − t_jetson and log it as an EltsClockOffset event. All three raw values are kept (Appendix B.3).</x:v>
      </x:c>
      <x:c r="I69" s="34" t="str">
        <x:v>G4 passed, D-03 and D-10 decided, ELTS owner available</x:v>
      </x:c>
      <x:c r="J69" s="34" t="str">
        <x:v>P2.2, P6.1, P6.2</x:v>
      </x:c>
      <x:c r="K69" s="34" t="str"/>
      <x:c r="L69" s="34" t="str">
        <x:v>Acceptance criteria and required evidence are satisfied and recorded.</x:v>
      </x:c>
      <x:c r="M69" s="34" t="str">
        <x:v>Acceptance criteria and required evidence are satisfied and recorded.</x:v>
      </x:c>
      <x:c r="N69" s="34" t="str">
        <x:v>Code, documentation, test evidence, or lab evidence named in the task</x:v>
      </x:c>
      <x:c r="O69" s="34" t="str">
        <x:v>Developer</x:v>
      </x:c>
      <x:c r="P69" s="34" t="str">
        <x:v>agent</x:v>
      </x:c>
      <x:c r="Q69" s="34" t="str">
        <x:v>Unity and Jetson integration</x:v>
      </x:c>
      <x:c r="R69" s="34" t="str">
        <x:v>not_started</x:v>
      </x:c>
      <x:c r="S69" s="34" t="str">
        <x:f>IF(COUNTIFS('Atomic Steps'!$C$6:$C$248,B69,'Atomic Steps'!$N$6:$N$248,"blocked")&gt;0,"blocked",IF(COUNTIFS('Atomic Steps'!$C$6:$C$248,B69,'Atomic Steps'!$N$6:$N$248,"in_progress")&gt;0,"in_progress",IF(COUNTIFS('Atomic Steps'!$C$6:$C$248,B69,'Atomic Steps'!$N$6:$N$248,"verification_pending")&gt;0,"verification_pending",IF(COUNTIFS('Atomic Steps'!$C$6:$C$248,B69,'Atomic Steps'!$N$6:$N$248,"done")=COUNTIF('Atomic Steps'!$C$6:$C$248,B69),"done",IF(COUNTIFS('Atomic Steps'!$C$6:$C$248,B69,'Atomic Steps'!$N$6:$N$248,"ready")&gt;0,"ready","not_started")))))</x:f>
        <x:v>not_started</x:v>
      </x:c>
      <x:c r="T69" s="34" t="str"/>
      <x:c r="U69" s="34" t="str"/>
      <x:c r="V69" s="34" t="str"/>
      <x:c r="W69" s="34" t="str">
        <x:v>ELTS Build Plan P6.3</x:v>
      </x:c>
    </x:row>
    <x:row r="70">
      <x:c r="A70" s="10" t="n">
        <x:v>65</x:v>
      </x:c>
      <x:c r="B70" s="10" t="str">
        <x:v>P6.4</x:v>
      </x:c>
      <x:c r="C70" s="10" t="str">
        <x:v>P6</x:v>
      </x:c>
      <x:c r="D70" s="10" t="str">
        <x:v>ELTS integration</x:v>
      </x:c>
      <x:c r="E70" s="10" t="str">
        <x:v>G6</x:v>
      </x:c>
      <x:c r="F70" s="10" t="str">
        <x:v>WS-C, WS-D</x:v>
      </x:c>
      <x:c r="G70" s="10" t="str">
        <x:v>Heartbeat</x:v>
      </x:c>
      <x:c r="H70" s="10" t="str">
        <x:v>Ping every 1 s while a WE block is running; link status on the operator panel; a missed ack raises a visible warning, three missed acks post EltsLinkLost (block continues; the operator decides).</x:v>
      </x:c>
      <x:c r="I70" s="10" t="str">
        <x:v>G4 passed, D-03 and D-10 decided, ELTS owner available</x:v>
      </x:c>
      <x:c r="J70" s="10" t="str">
        <x:v>P6.1, P6.2</x:v>
      </x:c>
      <x:c r="K70" s="10" t="str"/>
      <x:c r="L70" s="10" t="str">
        <x:v>Acceptance criteria and required evidence are satisfied and recorded.</x:v>
      </x:c>
      <x:c r="M70" s="10" t="str">
        <x:v>Acceptance criteria and required evidence are satisfied and recorded.</x:v>
      </x:c>
      <x:c r="N70" s="10" t="str">
        <x:v>Code, documentation, test evidence, or lab evidence named in the task</x:v>
      </x:c>
      <x:c r="O70" s="10" t="str">
        <x:v>Developer</x:v>
      </x:c>
      <x:c r="P70" s="10" t="str">
        <x:v>agent</x:v>
      </x:c>
      <x:c r="Q70" s="10" t="str">
        <x:v>Unity and Jetson integration</x:v>
      </x:c>
      <x:c r="R70" s="10" t="str">
        <x:v>not_started</x:v>
      </x:c>
      <x:c r="S70" s="10" t="str">
        <x:f>IF(COUNTIFS('Atomic Steps'!$C$6:$C$248,B70,'Atomic Steps'!$N$6:$N$248,"blocked")&gt;0,"blocked",IF(COUNTIFS('Atomic Steps'!$C$6:$C$248,B70,'Atomic Steps'!$N$6:$N$248,"in_progress")&gt;0,"in_progress",IF(COUNTIFS('Atomic Steps'!$C$6:$C$248,B70,'Atomic Steps'!$N$6:$N$248,"verification_pending")&gt;0,"verification_pending",IF(COUNTIFS('Atomic Steps'!$C$6:$C$248,B70,'Atomic Steps'!$N$6:$N$248,"done")=COUNTIF('Atomic Steps'!$C$6:$C$248,B70),"done",IF(COUNTIFS('Atomic Steps'!$C$6:$C$248,B70,'Atomic Steps'!$N$6:$N$248,"ready")&gt;0,"ready","not_started")))))</x:f>
        <x:v>not_started</x:v>
      </x:c>
      <x:c r="T70" s="10" t="str"/>
      <x:c r="U70" s="10" t="str"/>
      <x:c r="V70" s="10" t="str"/>
      <x:c r="W70" s="10" t="str">
        <x:v>ELTS Build Plan P6.4</x:v>
      </x:c>
    </x:row>
    <x:row r="71">
      <x:c r="A71" s="34" t="n">
        <x:v>66</x:v>
      </x:c>
      <x:c r="B71" s="34" t="str">
        <x:v>P6.5</x:v>
      </x:c>
      <x:c r="C71" s="34" t="str">
        <x:v>P6</x:v>
      </x:c>
      <x:c r="D71" s="34" t="str">
        <x:v>ELTS integration</x:v>
      </x:c>
      <x:c r="E71" s="34" t="str">
        <x:v>G6</x:v>
      </x:c>
      <x:c r="F71" s="34" t="str">
        <x:v>WS-C, WS-D</x:v>
      </x:c>
      <x:c r="G71" s="34" t="str">
        <x:v>Session wiring</x:v>
      </x:c>
      <x:c r="H71" s="34" t="str">
        <x:v>BlockRunning entry sends Start when eltsEnabled, exit sends Stop, Abort sends Stop. In NE blocks nothing is sent (or Arm/nothing per D-10). Self-check (P4.12) requires a successful HELLO handshake when the session contains a WE block.</x:v>
      </x:c>
      <x:c r="I71" s="34" t="str">
        <x:v>G4 passed, D-03 and D-10 decided, ELTS owner available</x:v>
      </x:c>
      <x:c r="J71" s="34" t="str">
        <x:v>P4.10, P6.1:P6.4, D-10</x:v>
      </x:c>
      <x:c r="K71" s="34" t="str">
        <x:v>D-10</x:v>
      </x:c>
      <x:c r="L71" s="34" t="str">
        <x:v>Acceptance criteria and required evidence are satisfied and recorded.</x:v>
      </x:c>
      <x:c r="M71" s="34" t="str">
        <x:v>Acceptance criteria and required evidence are satisfied and recorded.</x:v>
      </x:c>
      <x:c r="N71" s="34" t="str">
        <x:v>Code, documentation, test evidence, or lab evidence named in the task</x:v>
      </x:c>
      <x:c r="O71" s="34" t="str">
        <x:v>Developer</x:v>
      </x:c>
      <x:c r="P71" s="34" t="str">
        <x:v>agent</x:v>
      </x:c>
      <x:c r="Q71" s="34" t="str">
        <x:v>Unity and Jetson integration</x:v>
      </x:c>
      <x:c r="R71" s="34" t="str">
        <x:v>not_started</x:v>
      </x:c>
      <x:c r="S71" s="34" t="str">
        <x:f>IF(COUNTIFS('Atomic Steps'!$C$6:$C$248,B71,'Atomic Steps'!$N$6:$N$248,"blocked")&gt;0,"blocked",IF(COUNTIFS('Atomic Steps'!$C$6:$C$248,B71,'Atomic Steps'!$N$6:$N$248,"in_progress")&gt;0,"in_progress",IF(COUNTIFS('Atomic Steps'!$C$6:$C$248,B71,'Atomic Steps'!$N$6:$N$248,"verification_pending")&gt;0,"verification_pending",IF(COUNTIFS('Atomic Steps'!$C$6:$C$248,B71,'Atomic Steps'!$N$6:$N$248,"done")=COUNTIF('Atomic Steps'!$C$6:$C$248,B71),"done",IF(COUNTIFS('Atomic Steps'!$C$6:$C$248,B71,'Atomic Steps'!$N$6:$N$248,"ready")&gt;0,"ready","not_started")))))</x:f>
        <x:v>not_started</x:v>
      </x:c>
      <x:c r="T71" s="34" t="str"/>
      <x:c r="U71" s="34" t="str"/>
      <x:c r="V71" s="34" t="str"/>
      <x:c r="W71" s="34" t="str">
        <x:v>ELTS Build Plan P6.5</x:v>
      </x:c>
    </x:row>
    <x:row r="72">
      <x:c r="A72" s="10" t="n">
        <x:v>67</x:v>
      </x:c>
      <x:c r="B72" s="10" t="str">
        <x:v>P6.6</x:v>
      </x:c>
      <x:c r="C72" s="10" t="str">
        <x:v>P6</x:v>
      </x:c>
      <x:c r="D72" s="10" t="str">
        <x:v>ELTS integration</x:v>
      </x:c>
      <x:c r="E72" s="10" t="str">
        <x:v>G6</x:v>
      </x:c>
      <x:c r="F72" s="10" t="str">
        <x:v>WS-C, WS-D</x:v>
      </x:c>
      <x:c r="G72" s="10" t="str">
        <x:v>NullEltsLink</x:v>
      </x:c>
      <x:c r="H72" s="10" t="str">
        <x:v>A fake that acks locally, for development and for NE-only sessions.
### Tasks — Jetson side (ELTS code owner)</x:v>
      </x:c>
      <x:c r="I72" s="10" t="str">
        <x:v>G4 passed, D-03 and D-10 decided, ELTS owner available</x:v>
      </x:c>
      <x:c r="J72" s="10" t="str">
        <x:v>P6.1</x:v>
      </x:c>
      <x:c r="K72" s="10" t="str"/>
      <x:c r="L72" s="10" t="str">
        <x:v>Acceptance criteria and required evidence are satisfied and recorded.</x:v>
      </x:c>
      <x:c r="M72" s="10" t="str">
        <x:v>Acceptance criteria and required evidence are satisfied and recorded.</x:v>
      </x:c>
      <x:c r="N72" s="10" t="str">
        <x:v>Code, documentation, test evidence, or lab evidence named in the task</x:v>
      </x:c>
      <x:c r="O72" s="10" t="str">
        <x:v>Developer</x:v>
      </x:c>
      <x:c r="P72" s="10" t="str">
        <x:v>agent</x:v>
      </x:c>
      <x:c r="Q72" s="10" t="str">
        <x:v>Unity and Jetson integration</x:v>
      </x:c>
      <x:c r="R72" s="10" t="str">
        <x:v>not_started</x:v>
      </x:c>
      <x:c r="S72" s="10" t="str">
        <x:f>IF(COUNTIFS('Atomic Steps'!$C$6:$C$248,B72,'Atomic Steps'!$N$6:$N$248,"blocked")&gt;0,"blocked",IF(COUNTIFS('Atomic Steps'!$C$6:$C$248,B72,'Atomic Steps'!$N$6:$N$248,"in_progress")&gt;0,"in_progress",IF(COUNTIFS('Atomic Steps'!$C$6:$C$248,B72,'Atomic Steps'!$N$6:$N$248,"verification_pending")&gt;0,"verification_pending",IF(COUNTIFS('Atomic Steps'!$C$6:$C$248,B72,'Atomic Steps'!$N$6:$N$248,"done")=COUNTIF('Atomic Steps'!$C$6:$C$248,B72),"done",IF(COUNTIFS('Atomic Steps'!$C$6:$C$248,B72,'Atomic Steps'!$N$6:$N$248,"ready")&gt;0,"ready","not_started")))))</x:f>
        <x:v>not_started</x:v>
      </x:c>
      <x:c r="T72" s="10" t="str"/>
      <x:c r="U72" s="10" t="str"/>
      <x:c r="V72" s="10" t="str"/>
      <x:c r="W72" s="10" t="str">
        <x:v>ELTS Build Plan P6.6</x:v>
      </x:c>
    </x:row>
    <x:row r="73">
      <x:c r="A73" s="34" t="n">
        <x:v>68</x:v>
      </x:c>
      <x:c r="B73" s="34" t="str">
        <x:v>P6.7</x:v>
      </x:c>
      <x:c r="C73" s="34" t="str">
        <x:v>P6</x:v>
      </x:c>
      <x:c r="D73" s="34" t="str">
        <x:v>ELTS integration</x:v>
      </x:c>
      <x:c r="E73" s="34" t="str">
        <x:v>G6</x:v>
      </x:c>
      <x:c r="F73" s="34" t="str">
        <x:v>WS-D</x:v>
      </x:c>
      <x:c r="G73" s="34" t="str">
        <x:v>Listener service and state machine</x:v>
      </x:c>
      <x:c r="H73" s="34" t="str">
        <x:v>Wrap the existing ELTS main loop in Idle → Armed (camera + tracking running, LEDs inhibited) → Active (LEDs permitted) → Idle, driven by the §14 protocol over the chosen transport. Active is entered only by START; left by STOP, by heartbeat timeout, by the max-on-time guard, or by the E-stop.</x:v>
      </x:c>
      <x:c r="I73" s="34" t="str">
        <x:v>G4 passed, D-03 and D-10 decided, ELTS owner available</x:v>
      </x:c>
      <x:c r="J73" s="34" t="str">
        <x:v>P6.1, P6.2</x:v>
      </x:c>
      <x:c r="K73" s="34" t="str"/>
      <x:c r="L73" s="34" t="str">
        <x:v>Acceptance criteria and required evidence are satisfied and recorded.</x:v>
      </x:c>
      <x:c r="M73" s="34" t="str">
        <x:v>Acceptance criteria and required evidence are satisfied and recorded.</x:v>
      </x:c>
      <x:c r="N73" s="34" t="str">
        <x:v>Jetson service</x:v>
      </x:c>
      <x:c r="O73" s="34" t="str">
        <x:v>ELTS code owner</x:v>
      </x:c>
      <x:c r="P73" s="34" t="str">
        <x:v>agent</x:v>
      </x:c>
      <x:c r="Q73" s="34" t="str">
        <x:v>Unity and Jetson integration</x:v>
      </x:c>
      <x:c r="R73" s="34" t="str">
        <x:v>not_started</x:v>
      </x:c>
      <x:c r="S73" s="34" t="str">
        <x:f>IF(COUNTIFS('Atomic Steps'!$C$6:$C$248,B73,'Atomic Steps'!$N$6:$N$248,"blocked")&gt;0,"blocked",IF(COUNTIFS('Atomic Steps'!$C$6:$C$248,B73,'Atomic Steps'!$N$6:$N$248,"in_progress")&gt;0,"in_progress",IF(COUNTIFS('Atomic Steps'!$C$6:$C$248,B73,'Atomic Steps'!$N$6:$N$248,"verification_pending")&gt;0,"verification_pending",IF(COUNTIFS('Atomic Steps'!$C$6:$C$248,B73,'Atomic Steps'!$N$6:$N$248,"done")=COUNTIF('Atomic Steps'!$C$6:$C$248,B73),"done",IF(COUNTIFS('Atomic Steps'!$C$6:$C$248,B73,'Atomic Steps'!$N$6:$N$248,"ready")&gt;0,"ready","not_started")))))</x:f>
        <x:v>not_started</x:v>
      </x:c>
      <x:c r="T73" s="34" t="str"/>
      <x:c r="U73" s="34" t="str"/>
      <x:c r="V73" s="34" t="str"/>
      <x:c r="W73" s="34" t="str">
        <x:v>ELTS Build Plan P6.7</x:v>
      </x:c>
    </x:row>
    <x:row r="74">
      <x:c r="A74" s="10" t="n">
        <x:v>69</x:v>
      </x:c>
      <x:c r="B74" s="10" t="str">
        <x:v>P6.8</x:v>
      </x:c>
      <x:c r="C74" s="10" t="str">
        <x:v>P6</x:v>
      </x:c>
      <x:c r="D74" s="10" t="str">
        <x:v>ELTS integration</x:v>
      </x:c>
      <x:c r="E74" s="10" t="str">
        <x:v>G6</x:v>
      </x:c>
      <x:c r="F74" s="10" t="str">
        <x:v>WS-D</x:v>
      </x:c>
      <x:c r="G74" s="10" t="str">
        <x:v>Fail-safes</x:v>
      </x:c>
      <x:c r="H74" s="10" t="str">
        <x:v>Heartbeat timeout: if no PING for 3 s (config) in Active, inhibit LEDs and return to Armed; log it.
Max on-time guard: LEDs are hard-limited to block duration + 30 s per START (the duration_s field of the START message) (config; must be consistent with the exposure limits in the safety sheet, D-13).
Physical E-stop: a normally-closed switch in the LED supply path (or at the transistor gate) that the operator can hit regardless of software state. Existing hardware is modified only at this one point, and the ELTS otherwise remains as evaluated.</x:v>
      </x:c>
      <x:c r="I74" s="10" t="str">
        <x:v>G4 passed, D-03 and D-10 decided, ELTS owner available</x:v>
      </x:c>
      <x:c r="J74" s="10" t="str">
        <x:v>P6.7, D-13</x:v>
      </x:c>
      <x:c r="K74" s="10" t="str">
        <x:v>D-13</x:v>
      </x:c>
      <x:c r="L74" s="10" t="str">
        <x:v>Acceptance criteria and required evidence are satisfied and recorded.</x:v>
      </x:c>
      <x:c r="M74" s="10" t="str">
        <x:v>Acceptance criteria and required evidence are satisfied and recorded.</x:v>
      </x:c>
      <x:c r="N74" s="10" t="str">
        <x:v>fail-safe evidence</x:v>
      </x:c>
      <x:c r="O74" s="10" t="str">
        <x:v>ELTS code owner</x:v>
      </x:c>
      <x:c r="P74" s="10" t="str">
        <x:v>mixed</x:v>
      </x:c>
      <x:c r="Q74" s="10" t="str">
        <x:v>Unity and Jetson integration</x:v>
      </x:c>
      <x:c r="R74" s="10" t="str">
        <x:v>not_started</x:v>
      </x:c>
      <x:c r="S74" s="10" t="str">
        <x:f>IF(COUNTIFS('Atomic Steps'!$C$6:$C$248,B74,'Atomic Steps'!$N$6:$N$248,"blocked")&gt;0,"blocked",IF(COUNTIFS('Atomic Steps'!$C$6:$C$248,B74,'Atomic Steps'!$N$6:$N$248,"in_progress")&gt;0,"in_progress",IF(COUNTIFS('Atomic Steps'!$C$6:$C$248,B74,'Atomic Steps'!$N$6:$N$248,"verification_pending")&gt;0,"verification_pending",IF(COUNTIFS('Atomic Steps'!$C$6:$C$248,B74,'Atomic Steps'!$N$6:$N$248,"done")=COUNTIF('Atomic Steps'!$C$6:$C$248,B74),"done",IF(COUNTIFS('Atomic Steps'!$C$6:$C$248,B74,'Atomic Steps'!$N$6:$N$248,"ready")&gt;0,"ready","not_started")))))</x:f>
        <x:v>not_started</x:v>
      </x:c>
      <x:c r="T74" s="10" t="str"/>
      <x:c r="U74" s="10" t="str"/>
      <x:c r="V74" s="10" t="str"/>
      <x:c r="W74" s="10" t="str">
        <x:v>ELTS Build Plan P6.8</x:v>
      </x:c>
    </x:row>
    <x:row r="75">
      <x:c r="A75" s="34" t="n">
        <x:v>70</x:v>
      </x:c>
      <x:c r="B75" s="34" t="str">
        <x:v>P6.9</x:v>
      </x:c>
      <x:c r="C75" s="34" t="str">
        <x:v>P6</x:v>
      </x:c>
      <x:c r="D75" s="34" t="str">
        <x:v>ELTS integration</x:v>
      </x:c>
      <x:c r="E75" s="34" t="str">
        <x:v>G6</x:v>
      </x:c>
      <x:c r="F75" s="34" t="str">
        <x:v>WS-D</x:v>
      </x:c>
      <x:c r="G75" s="34" t="str">
        <x:v>Jetson-side event log (recommended, not required by the briefing)</x:v>
      </x:c>
      <x:c r="H75" s="34" t="str">
        <x:v>The Jetson logs, against t_jetson, at ≥ 10 Hz: state, LED on/off, face detected (bool), and turret commanded angles. Combined with the P6.3 offset, this tells the analysis when glare was actually being delivered — without it, "ELTS on" is only "commanded on."</x:v>
      </x:c>
      <x:c r="I75" s="34" t="str">
        <x:v>G4 passed, D-03 and D-10 decided, ELTS owner available</x:v>
      </x:c>
      <x:c r="J75" s="34" t="str">
        <x:v>P6.7</x:v>
      </x:c>
      <x:c r="K75" s="34" t="str"/>
      <x:c r="L75" s="34" t="str">
        <x:v>Acceptance criteria and required evidence are satisfied and recorded.</x:v>
      </x:c>
      <x:c r="M75" s="34" t="str">
        <x:v>Acceptance criteria and required evidence are satisfied and recorded.</x:v>
      </x:c>
      <x:c r="N75" s="34" t="str">
        <x:v>Code, documentation, test evidence, or lab evidence named in the task</x:v>
      </x:c>
      <x:c r="O75" s="34" t="str">
        <x:v>ELTS code owner</x:v>
      </x:c>
      <x:c r="P75" s="34" t="str">
        <x:v>agent</x:v>
      </x:c>
      <x:c r="Q75" s="34" t="str">
        <x:v>Unity and Jetson integration</x:v>
      </x:c>
      <x:c r="R75" s="34" t="str">
        <x:v>not_started</x:v>
      </x:c>
      <x:c r="S75" s="34" t="str">
        <x:f>IF(COUNTIFS('Atomic Steps'!$C$6:$C$248,B75,'Atomic Steps'!$N$6:$N$248,"blocked")&gt;0,"blocked",IF(COUNTIFS('Atomic Steps'!$C$6:$C$248,B75,'Atomic Steps'!$N$6:$N$248,"in_progress")&gt;0,"in_progress",IF(COUNTIFS('Atomic Steps'!$C$6:$C$248,B75,'Atomic Steps'!$N$6:$N$248,"verification_pending")&gt;0,"verification_pending",IF(COUNTIFS('Atomic Steps'!$C$6:$C$248,B75,'Atomic Steps'!$N$6:$N$248,"done")=COUNTIF('Atomic Steps'!$C$6:$C$248,B75),"done",IF(COUNTIFS('Atomic Steps'!$C$6:$C$248,B75,'Atomic Steps'!$N$6:$N$248,"ready")&gt;0,"ready","not_started")))))</x:f>
        <x:v>not_started</x:v>
      </x:c>
      <x:c r="T75" s="34" t="str"/>
      <x:c r="U75" s="34" t="str"/>
      <x:c r="V75" s="34" t="str"/>
      <x:c r="W75" s="34" t="str">
        <x:v>ELTS Build Plan P6.9</x:v>
      </x:c>
    </x:row>
    <x:row r="76">
      <x:c r="A76" s="10" t="n">
        <x:v>71</x:v>
      </x:c>
      <x:c r="B76" s="10" t="str">
        <x:v>P6.10</x:v>
      </x:c>
      <x:c r="C76" s="10" t="str">
        <x:v>P6</x:v>
      </x:c>
      <x:c r="D76" s="10" t="str">
        <x:v>ELTS integration</x:v>
      </x:c>
      <x:c r="E76" s="10" t="str">
        <x:v>G6</x:v>
      </x:c>
      <x:c r="F76" s="10" t="str">
        <x:v>WS-D</x:v>
      </x:c>
      <x:c r="G76" s="10" t="str">
        <x:v>Acknowledgement semantics</x:v>
      </x:c>
      <x:c r="H76" s="10" t="str">
        <x:v>ACK to START is sent when the LEDs are actually permitted (not when the message is parsed), so t_jetson in the ack is the stimulus onset time.
### Tests</x:v>
      </x:c>
      <x:c r="I76" s="10" t="str">
        <x:v>G4 passed, D-03 and D-10 decided, ELTS owner available</x:v>
      </x:c>
      <x:c r="J76" s="10" t="str">
        <x:v>P6.7</x:v>
      </x:c>
      <x:c r="K76" s="10" t="str"/>
      <x:c r="L76" s="10" t="str">
        <x:v>Acceptance criteria and required evidence are satisfied and recorded.</x:v>
      </x:c>
      <x:c r="M76" s="10" t="str">
        <x:v>Acceptance criteria and required evidence are satisfied and recorded.</x:v>
      </x:c>
      <x:c r="N76" s="10" t="str">
        <x:v>Code, documentation, test evidence, or lab evidence named in the task</x:v>
      </x:c>
      <x:c r="O76" s="10" t="str">
        <x:v>ELTS code owner</x:v>
      </x:c>
      <x:c r="P76" s="10" t="str">
        <x:v>agent</x:v>
      </x:c>
      <x:c r="Q76" s="10" t="str">
        <x:v>Unity and Jetson integration</x:v>
      </x:c>
      <x:c r="R76" s="10" t="str">
        <x:v>not_started</x:v>
      </x:c>
      <x:c r="S76" s="10" t="str">
        <x:f>IF(COUNTIFS('Atomic Steps'!$C$6:$C$248,B76,'Atomic Steps'!$N$6:$N$248,"blocked")&gt;0,"blocked",IF(COUNTIFS('Atomic Steps'!$C$6:$C$248,B76,'Atomic Steps'!$N$6:$N$248,"in_progress")&gt;0,"in_progress",IF(COUNTIFS('Atomic Steps'!$C$6:$C$248,B76,'Atomic Steps'!$N$6:$N$248,"verification_pending")&gt;0,"verification_pending",IF(COUNTIFS('Atomic Steps'!$C$6:$C$248,B76,'Atomic Steps'!$N$6:$N$248,"done")=COUNTIF('Atomic Steps'!$C$6:$C$248,B76),"done",IF(COUNTIFS('Atomic Steps'!$C$6:$C$248,B76,'Atomic Steps'!$N$6:$N$248,"ready")&gt;0,"ready","not_started")))))</x:f>
        <x:v>not_started</x:v>
      </x:c>
      <x:c r="T76" s="10" t="str"/>
      <x:c r="U76" s="10" t="str"/>
      <x:c r="V76" s="10" t="str"/>
      <x:c r="W76" s="10" t="str">
        <x:v>ELTS Build Plan P6.10</x:v>
      </x:c>
    </x:row>
    <x:row r="77">
      <x:c r="A77" s="34" t="n">
        <x:v>72</x:v>
      </x:c>
      <x:c r="B77" s="34" t="str">
        <x:v>P6.11</x:v>
      </x:c>
      <x:c r="C77" s="34" t="str">
        <x:v>P6</x:v>
      </x:c>
      <x:c r="D77" s="34" t="str">
        <x:v>ELTS integration</x:v>
      </x:c>
      <x:c r="E77" s="34" t="str">
        <x:v>G6</x:v>
      </x:c>
      <x:c r="F77" s="34" t="str">
        <x:v>WS-C, WS-D</x:v>
      </x:c>
      <x:c r="G77" s="34" t="str">
        <x:v>Link test</x:v>
      </x:c>
      <x:c r="H77" s="34" t="str">
        <x:v>20 consecutive START/STOP cycles; all acked; offsets logged; offset stable within 20 ms across cycles (provisional).</x:v>
      </x:c>
      <x:c r="I77" s="34" t="str">
        <x:v>G4 passed, D-03 and D-10 decided, ELTS owner available</x:v>
      </x:c>
      <x:c r="J77" s="34" t="str">
        <x:v>P6.1:P6.10</x:v>
      </x:c>
      <x:c r="K77" s="34" t="str"/>
      <x:c r="L77" s="34" t="str">
        <x:v>Acceptance criteria and required evidence are satisfied and recorded.</x:v>
      </x:c>
      <x:c r="M77" s="34" t="str">
        <x:v>Acceptance criteria and required evidence are satisfied and recorded.</x:v>
      </x:c>
      <x:c r="N77" s="34" t="str">
        <x:v>link test report</x:v>
      </x:c>
      <x:c r="O77" s="34" t="str">
        <x:v>Developer</x:v>
      </x:c>
      <x:c r="P77" s="34" t="str">
        <x:v>mixed</x:v>
      </x:c>
      <x:c r="Q77" s="34" t="str">
        <x:v>Unity and Jetson integration</x:v>
      </x:c>
      <x:c r="R77" s="34" t="str">
        <x:v>not_started</x:v>
      </x:c>
      <x:c r="S77" s="34" t="str">
        <x:f>IF(COUNTIFS('Atomic Steps'!$C$6:$C$248,B77,'Atomic Steps'!$N$6:$N$248,"blocked")&gt;0,"blocked",IF(COUNTIFS('Atomic Steps'!$C$6:$C$248,B77,'Atomic Steps'!$N$6:$N$248,"in_progress")&gt;0,"in_progress",IF(COUNTIFS('Atomic Steps'!$C$6:$C$248,B77,'Atomic Steps'!$N$6:$N$248,"verification_pending")&gt;0,"verification_pending",IF(COUNTIFS('Atomic Steps'!$C$6:$C$248,B77,'Atomic Steps'!$N$6:$N$248,"done")=COUNTIF('Atomic Steps'!$C$6:$C$248,B77),"done",IF(COUNTIFS('Atomic Steps'!$C$6:$C$248,B77,'Atomic Steps'!$N$6:$N$248,"ready")&gt;0,"ready","not_started")))))</x:f>
        <x:v>not_started</x:v>
      </x:c>
      <x:c r="T77" s="34" t="str"/>
      <x:c r="U77" s="34" t="str"/>
      <x:c r="V77" s="34" t="str"/>
      <x:c r="W77" s="34" t="str">
        <x:v>ELTS Build Plan P6.11</x:v>
      </x:c>
    </x:row>
    <x:row r="78">
      <x:c r="A78" s="10" t="n">
        <x:v>73</x:v>
      </x:c>
      <x:c r="B78" s="10" t="str">
        <x:v>P6.12</x:v>
      </x:c>
      <x:c r="C78" s="10" t="str">
        <x:v>P6</x:v>
      </x:c>
      <x:c r="D78" s="10" t="str">
        <x:v>ELTS integration</x:v>
      </x:c>
      <x:c r="E78" s="10" t="str">
        <x:v>G6</x:v>
      </x:c>
      <x:c r="F78" s="10" t="str">
        <x:v>WS-C, WS-D</x:v>
      </x:c>
      <x:c r="G78" s="10" t="str">
        <x:v>Fail-safe tests</x:v>
      </x:c>
      <x:c r="H78" s="10" t="str">
        <x:v>(a) Kill the Unity process mid-block → LEDs off within the timeout; (b) unplug the transport → same; (c) E-stop → LEDs off immediately regardless of software state; the operator then sends STOP and the Jetson reports Armed/Idle; (d) leave a block running past the guard → LEDs off at the guard time.</x:v>
      </x:c>
      <x:c r="I78" s="10" t="str">
        <x:v>G4 passed, D-03 and D-10 decided, ELTS owner available</x:v>
      </x:c>
      <x:c r="J78" s="10" t="str">
        <x:v>P6.8</x:v>
      </x:c>
      <x:c r="K78" s="10" t="str"/>
      <x:c r="L78" s="10" t="str">
        <x:v>Acceptance criteria and required evidence are satisfied and recorded.</x:v>
      </x:c>
      <x:c r="M78" s="10" t="str">
        <x:v>Acceptance criteria and required evidence are satisfied and recorded.</x:v>
      </x:c>
      <x:c r="N78" s="10" t="str">
        <x:v>fail-safe report</x:v>
      </x:c>
      <x:c r="O78" s="10" t="str">
        <x:v>Developer</x:v>
      </x:c>
      <x:c r="P78" s="10" t="str">
        <x:v>mixed</x:v>
      </x:c>
      <x:c r="Q78" s="10" t="str">
        <x:v>Unity and Jetson integration</x:v>
      </x:c>
      <x:c r="R78" s="10" t="str">
        <x:v>not_started</x:v>
      </x:c>
      <x:c r="S78" s="10" t="str">
        <x:f>IF(COUNTIFS('Atomic Steps'!$C$6:$C$248,B78,'Atomic Steps'!$N$6:$N$248,"blocked")&gt;0,"blocked",IF(COUNTIFS('Atomic Steps'!$C$6:$C$248,B78,'Atomic Steps'!$N$6:$N$248,"in_progress")&gt;0,"in_progress",IF(COUNTIFS('Atomic Steps'!$C$6:$C$248,B78,'Atomic Steps'!$N$6:$N$248,"verification_pending")&gt;0,"verification_pending",IF(COUNTIFS('Atomic Steps'!$C$6:$C$248,B78,'Atomic Steps'!$N$6:$N$248,"done")=COUNTIF('Atomic Steps'!$C$6:$C$248,B78),"done",IF(COUNTIFS('Atomic Steps'!$C$6:$C$248,B78,'Atomic Steps'!$N$6:$N$248,"ready")&gt;0,"ready","not_started")))))</x:f>
        <x:v>not_started</x:v>
      </x:c>
      <x:c r="T78" s="10" t="str"/>
      <x:c r="U78" s="10" t="str"/>
      <x:c r="V78" s="10" t="str"/>
      <x:c r="W78" s="10" t="str">
        <x:v>ELTS Build Plan P6.12</x:v>
      </x:c>
    </x:row>
    <x:row r="79">
      <x:c r="A79" s="34" t="n">
        <x:v>74</x:v>
      </x:c>
      <x:c r="B79" s="34" t="str">
        <x:v>P6.13</x:v>
      </x:c>
      <x:c r="C79" s="34" t="str">
        <x:v>P6</x:v>
      </x:c>
      <x:c r="D79" s="34" t="str">
        <x:v>ELTS integration</x:v>
      </x:c>
      <x:c r="E79" s="34" t="str">
        <x:v>G6</x:v>
      </x:c>
      <x:c r="F79" s="34" t="str">
        <x:v>WS-C, WS-D</x:v>
      </x:c>
      <x:c r="G79" s="34" t="str">
        <x:v>Startup ordering</x:v>
      </x:c>
      <x:c r="H79" s="34" t="str">
        <x:v>Document the required order (Jetson service up → SteamVR → Unity) in the operator checklist; the self-check enforces it.</x:v>
      </x:c>
      <x:c r="I79" s="34" t="str">
        <x:v>G4 passed, D-03 and D-10 decided, ELTS owner available</x:v>
      </x:c>
      <x:c r="J79" s="34" t="str">
        <x:v>P6.5, P6.7</x:v>
      </x:c>
      <x:c r="K79" s="34" t="str"/>
      <x:c r="L79" s="34" t="str">
        <x:v>Acceptance criteria and required evidence are satisfied and recorded.</x:v>
      </x:c>
      <x:c r="M79" s="34" t="str">
        <x:v>Acceptance criteria and required evidence are satisfied and recorded.</x:v>
      </x:c>
      <x:c r="N79" s="34" t="str">
        <x:v>Code, documentation, test evidence, or lab evidence named in the task</x:v>
      </x:c>
      <x:c r="O79" s="34" t="str">
        <x:v>Developer</x:v>
      </x:c>
      <x:c r="P79" s="34" t="str">
        <x:v>mixed</x:v>
      </x:c>
      <x:c r="Q79" s="34" t="str">
        <x:v>Unity and Jetson integration</x:v>
      </x:c>
      <x:c r="R79" s="34" t="str">
        <x:v>not_started</x:v>
      </x:c>
      <x:c r="S79" s="34" t="str">
        <x:f>IF(COUNTIFS('Atomic Steps'!$C$6:$C$248,B79,'Atomic Steps'!$N$6:$N$248,"blocked")&gt;0,"blocked",IF(COUNTIFS('Atomic Steps'!$C$6:$C$248,B79,'Atomic Steps'!$N$6:$N$248,"in_progress")&gt;0,"in_progress",IF(COUNTIFS('Atomic Steps'!$C$6:$C$248,B79,'Atomic Steps'!$N$6:$N$248,"verification_pending")&gt;0,"verification_pending",IF(COUNTIFS('Atomic Steps'!$C$6:$C$248,B79,'Atomic Steps'!$N$6:$N$248,"done")=COUNTIF('Atomic Steps'!$C$6:$C$248,B79),"done",IF(COUNTIFS('Atomic Steps'!$C$6:$C$248,B79,'Atomic Steps'!$N$6:$N$248,"ready")&gt;0,"ready","not_started")))))</x:f>
        <x:v>not_started</x:v>
      </x:c>
      <x:c r="T79" s="34" t="str"/>
      <x:c r="U79" s="34" t="str"/>
      <x:c r="V79" s="34" t="str"/>
      <x:c r="W79" s="34" t="str">
        <x:v>ELTS Build Plan P6.13</x:v>
      </x:c>
    </x:row>
    <x:row r="80">
      <x:c r="A80" s="10" t="n">
        <x:v>75</x:v>
      </x:c>
      <x:c r="B80" s="10" t="str">
        <x:v>P7.1</x:v>
      </x:c>
      <x:c r="C80" s="10" t="str">
        <x:v>P7</x:v>
      </x:c>
      <x:c r="D80" s="10" t="str">
        <x:v>Bench validation and safety</x:v>
      </x:c>
      <x:c r="E80" s="10" t="str">
        <x:v>G7</x:v>
      </x:c>
      <x:c r="F80" s="10" t="str">
        <x:v>WS-C, WS-D, WS-E</x:v>
      </x:c>
      <x:c r="G80" s="10" t="str">
        <x:v>Final placement and re-calibration</x:v>
      </x:c>
      <x:c r="H80" s="10" t="str">
        <x:v>Install the final display and base station per D-02; re-run pivot (if the probe changed) and corner probe; re-check corner rods; run the bore-laser check.</x:v>
      </x:c>
      <x:c r="I80" s="10" t="str">
        <x:v>G5 and G6 passed, D-01 and D-02 implemented</x:v>
      </x:c>
      <x:c r="J80" s="10" t="str">
        <x:v>G5, G6, D-01, D-02</x:v>
      </x:c>
      <x:c r="K80" s="10" t="str">
        <x:v>D-02</x:v>
      </x:c>
      <x:c r="L80" s="10" t="str">
        <x:v>Acceptance criteria and required evidence are satisfied and recorded.</x:v>
      </x:c>
      <x:c r="M80" s="10" t="str">
        <x:v>Acceptance criteria and required evidence are satisfied and recorded.</x:v>
      </x:c>
      <x:c r="N80" s="10" t="str">
        <x:v>Code, documentation, test evidence, or lab evidence named in the task</x:v>
      </x:c>
      <x:c r="O80" s="10" t="str">
        <x:v>Investigator, developer, and lab operator</x:v>
      </x:c>
      <x:c r="P80" s="10" t="str">
        <x:v>lab_hardware</x:v>
      </x:c>
      <x:c r="Q80" s="10" t="str">
        <x:v>Lab validation</x:v>
      </x:c>
      <x:c r="R80" s="10" t="str">
        <x:v>not_started</x:v>
      </x:c>
      <x:c r="S80" s="10" t="str">
        <x:f>IF(COUNTIFS('Atomic Steps'!$C$6:$C$248,B80,'Atomic Steps'!$N$6:$N$248,"blocked")&gt;0,"blocked",IF(COUNTIFS('Atomic Steps'!$C$6:$C$248,B80,'Atomic Steps'!$N$6:$N$248,"in_progress")&gt;0,"in_progress",IF(COUNTIFS('Atomic Steps'!$C$6:$C$248,B80,'Atomic Steps'!$N$6:$N$248,"verification_pending")&gt;0,"verification_pending",IF(COUNTIFS('Atomic Steps'!$C$6:$C$248,B80,'Atomic Steps'!$N$6:$N$248,"done")=COUNTIF('Atomic Steps'!$C$6:$C$248,B80),"done",IF(COUNTIFS('Atomic Steps'!$C$6:$C$248,B80,'Atomic Steps'!$N$6:$N$248,"ready")&gt;0,"ready","not_started")))))</x:f>
        <x:v>not_started</x:v>
      </x:c>
      <x:c r="T80" s="10" t="str"/>
      <x:c r="U80" s="10" t="str"/>
      <x:c r="V80" s="10" t="str"/>
      <x:c r="W80" s="10" t="str">
        <x:v>ELTS Build Plan P7.1</x:v>
      </x:c>
    </x:row>
    <x:row r="81">
      <x:c r="A81" s="34" t="n">
        <x:v>76</x:v>
      </x:c>
      <x:c r="B81" s="34" t="str">
        <x:v>P7.2</x:v>
      </x:c>
      <x:c r="C81" s="34" t="str">
        <x:v>P7</x:v>
      </x:c>
      <x:c r="D81" s="34" t="str">
        <x:v>Bench validation and safety</x:v>
      </x:c>
      <x:c r="E81" s="34" t="str">
        <x:v>G7</x:v>
      </x:c>
      <x:c r="F81" s="34" t="str">
        <x:v>WS-C, WS-D, WS-E</x:v>
      </x:c>
      <x:c r="G81" s="34" t="str">
        <x:v>IR interference test (Appendix D.1)</x:v>
      </x:c>
      <x:c r="H81" s="34" t="str">
        <x:v>Tracking validity and jitter for both trackers with the ELTS at full experimental intensity aimed at the participant position, LEDs on vs. off, 5 minutes each. Include the Brio: it contains an IR illuminator for Windows Hello, so confirm it is not active under the Jetson pipeline. Also confirm the ELTS's face detection is unaffected by the base station's IR sweeps.</x:v>
      </x:c>
      <x:c r="I81" s="34" t="str">
        <x:v>G5 and G6 passed, D-01 and D-02 implemented</x:v>
      </x:c>
      <x:c r="J81" s="34" t="str">
        <x:v>P7.1</x:v>
      </x:c>
      <x:c r="K81" s="34" t="str"/>
      <x:c r="L81" s="34" t="str">
        <x:v>Acceptance criteria and required evidence are satisfied and recorded.</x:v>
      </x:c>
      <x:c r="M81" s="34" t="str">
        <x:v>Acceptance criteria and required evidence are satisfied and recorded.</x:v>
      </x:c>
      <x:c r="N81" s="34" t="str">
        <x:v>docs/validation/D.1-infrared.md</x:v>
      </x:c>
      <x:c r="O81" s="34" t="str">
        <x:v>Investigator, developer, and lab operator</x:v>
      </x:c>
      <x:c r="P81" s="34" t="str">
        <x:v>lab_hardware</x:v>
      </x:c>
      <x:c r="Q81" s="34" t="str">
        <x:v>Lab validation</x:v>
      </x:c>
      <x:c r="R81" s="34" t="str">
        <x:v>not_started</x:v>
      </x:c>
      <x:c r="S81" s="34" t="str">
        <x:f>IF(COUNTIFS('Atomic Steps'!$C$6:$C$248,B81,'Atomic Steps'!$N$6:$N$248,"blocked")&gt;0,"blocked",IF(COUNTIFS('Atomic Steps'!$C$6:$C$248,B81,'Atomic Steps'!$N$6:$N$248,"in_progress")&gt;0,"in_progress",IF(COUNTIFS('Atomic Steps'!$C$6:$C$248,B81,'Atomic Steps'!$N$6:$N$248,"verification_pending")&gt;0,"verification_pending",IF(COUNTIFS('Atomic Steps'!$C$6:$C$248,B81,'Atomic Steps'!$N$6:$N$248,"done")=COUNTIF('Atomic Steps'!$C$6:$C$248,B81),"done",IF(COUNTIFS('Atomic Steps'!$C$6:$C$248,B81,'Atomic Steps'!$N$6:$N$248,"ready")&gt;0,"ready","not_started")))))</x:f>
        <x:v>not_started</x:v>
      </x:c>
      <x:c r="T81" s="34" t="str"/>
      <x:c r="U81" s="34" t="str"/>
      <x:c r="V81" s="34" t="str"/>
      <x:c r="W81" s="34" t="str">
        <x:v>ELTS Build Plan P7.2</x:v>
      </x:c>
    </x:row>
    <x:row r="82">
      <x:c r="A82" s="10" t="n">
        <x:v>77</x:v>
      </x:c>
      <x:c r="B82" s="10" t="str">
        <x:v>P7.3</x:v>
      </x:c>
      <x:c r="C82" s="10" t="str">
        <x:v>P7</x:v>
      </x:c>
      <x:c r="D82" s="10" t="str">
        <x:v>Bench validation and safety</x:v>
      </x:c>
      <x:c r="E82" s="10" t="str">
        <x:v>G7</x:v>
      </x:c>
      <x:c r="F82" s="10" t="str">
        <x:v>WS-C, WS-D, WS-E</x:v>
      </x:c>
      <x:c r="G82" s="10" t="str">
        <x:v>Display washout test (Appendix D.2)</x:v>
      </x:c>
      <x:c r="H82" s="10" t="str">
        <x:v>Display luminance at nine screen points with LEDs off vs. on (participant position occupied by a mannequin or lab member); pass if the change is within the D-11/D-17 threshold; photograph the geometry. Adjust ELTS aim limits or placement if it fails.</x:v>
      </x:c>
      <x:c r="I82" s="10" t="str">
        <x:v>G5 and G6 passed, D-01 and D-02 implemented</x:v>
      </x:c>
      <x:c r="J82" s="10" t="str">
        <x:v>P7.1, D-11</x:v>
      </x:c>
      <x:c r="K82" s="10" t="str">
        <x:v>D-11, D-17</x:v>
      </x:c>
      <x:c r="L82" s="10" t="str">
        <x:v>Acceptance criteria and required evidence are satisfied and recorded.</x:v>
      </x:c>
      <x:c r="M82" s="10" t="str">
        <x:v>Acceptance criteria and required evidence are satisfied and recorded.</x:v>
      </x:c>
      <x:c r="N82" s="10" t="str">
        <x:v>docs/validation/D.2-washout.md</x:v>
      </x:c>
      <x:c r="O82" s="10" t="str">
        <x:v>Investigator, developer, and lab operator</x:v>
      </x:c>
      <x:c r="P82" s="10" t="str">
        <x:v>lab_hardware</x:v>
      </x:c>
      <x:c r="Q82" s="10" t="str">
        <x:v>Lab validation</x:v>
      </x:c>
      <x:c r="R82" s="10" t="str">
        <x:v>not_started</x:v>
      </x:c>
      <x:c r="S82" s="10" t="str">
        <x:f>IF(COUNTIFS('Atomic Steps'!$C$6:$C$248,B82,'Atomic Steps'!$N$6:$N$248,"blocked")&gt;0,"blocked",IF(COUNTIFS('Atomic Steps'!$C$6:$C$248,B82,'Atomic Steps'!$N$6:$N$248,"in_progress")&gt;0,"in_progress",IF(COUNTIFS('Atomic Steps'!$C$6:$C$248,B82,'Atomic Steps'!$N$6:$N$248,"verification_pending")&gt;0,"verification_pending",IF(COUNTIFS('Atomic Steps'!$C$6:$C$248,B82,'Atomic Steps'!$N$6:$N$248,"done")=COUNTIF('Atomic Steps'!$C$6:$C$248,B82),"done",IF(COUNTIFS('Atomic Steps'!$C$6:$C$248,B82,'Atomic Steps'!$N$6:$N$248,"ready")&gt;0,"ready","not_started")))))</x:f>
        <x:v>not_started</x:v>
      </x:c>
      <x:c r="T82" s="10" t="str"/>
      <x:c r="U82" s="10" t="str"/>
      <x:c r="V82" s="10" t="str"/>
      <x:c r="W82" s="10" t="str">
        <x:v>ELTS Build Plan P7.3</x:v>
      </x:c>
    </x:row>
    <x:row r="83">
      <x:c r="A83" s="34" t="n">
        <x:v>78</x:v>
      </x:c>
      <x:c r="B83" s="34" t="str">
        <x:v>P7.4</x:v>
      </x:c>
      <x:c r="C83" s="34" t="str">
        <x:v>P7</x:v>
      </x:c>
      <x:c r="D83" s="34" t="str">
        <x:v>Bench validation and safety</x:v>
      </x:c>
      <x:c r="E83" s="34" t="str">
        <x:v>G7</x:v>
      </x:c>
      <x:c r="F83" s="34" t="str">
        <x:v>WS-C, WS-D, WS-E</x:v>
      </x:c>
      <x:c r="G83" s="34" t="str">
        <x:v>Occlusion characterization (Appendix D.3)</x:v>
      </x:c>
      <x:c r="H83" s="34" t="str">
        <x:v>Three lab members of different heights play a full 5-minute MT block each; report invalid-sample fraction per tracker. If above threshold, adjust base station height/angle and repeat.</x:v>
      </x:c>
      <x:c r="I83" s="34" t="str">
        <x:v>G5 and G6 passed, D-01 and D-02 implemented</x:v>
      </x:c>
      <x:c r="J83" s="34" t="str">
        <x:v>P7.1</x:v>
      </x:c>
      <x:c r="K83" s="34" t="str"/>
      <x:c r="L83" s="34" t="str">
        <x:v>Acceptance criteria and required evidence are satisfied and recorded.</x:v>
      </x:c>
      <x:c r="M83" s="34" t="str">
        <x:v>Acceptance criteria and required evidence are satisfied and recorded.</x:v>
      </x:c>
      <x:c r="N83" s="34" t="str">
        <x:v>docs/validation/D.3-occlusion.md</x:v>
      </x:c>
      <x:c r="O83" s="34" t="str">
        <x:v>Investigator, developer, and lab operator</x:v>
      </x:c>
      <x:c r="P83" s="34" t="str">
        <x:v>lab_hardware</x:v>
      </x:c>
      <x:c r="Q83" s="34" t="str">
        <x:v>Lab validation</x:v>
      </x:c>
      <x:c r="R83" s="34" t="str">
        <x:v>not_started</x:v>
      </x:c>
      <x:c r="S83" s="34" t="str">
        <x:f>IF(COUNTIFS('Atomic Steps'!$C$6:$C$248,B83,'Atomic Steps'!$N$6:$N$248,"blocked")&gt;0,"blocked",IF(COUNTIFS('Atomic Steps'!$C$6:$C$248,B83,'Atomic Steps'!$N$6:$N$248,"in_progress")&gt;0,"in_progress",IF(COUNTIFS('Atomic Steps'!$C$6:$C$248,B83,'Atomic Steps'!$N$6:$N$248,"verification_pending")&gt;0,"verification_pending",IF(COUNTIFS('Atomic Steps'!$C$6:$C$248,B83,'Atomic Steps'!$N$6:$N$248,"done")=COUNTIF('Atomic Steps'!$C$6:$C$248,B83),"done",IF(COUNTIFS('Atomic Steps'!$C$6:$C$248,B83,'Atomic Steps'!$N$6:$N$248,"ready")&gt;0,"ready","not_started")))))</x:f>
        <x:v>not_started</x:v>
      </x:c>
      <x:c r="T83" s="34" t="str"/>
      <x:c r="U83" s="34" t="str"/>
      <x:c r="V83" s="34" t="str"/>
      <x:c r="W83" s="34" t="str">
        <x:v>ELTS Build Plan P7.4</x:v>
      </x:c>
    </x:row>
    <x:row r="84">
      <x:c r="A84" s="10" t="n">
        <x:v>79</x:v>
      </x:c>
      <x:c r="B84" s="10" t="str">
        <x:v>P7.5</x:v>
      </x:c>
      <x:c r="C84" s="10" t="str">
        <x:v>P7</x:v>
      </x:c>
      <x:c r="D84" s="10" t="str">
        <x:v>Bench validation and safety</x:v>
      </x:c>
      <x:c r="E84" s="10" t="str">
        <x:v>G7</x:v>
      </x:c>
      <x:c r="F84" s="10" t="str">
        <x:v>WS-C, WS-D, WS-E</x:v>
      </x:c>
      <x:c r="G84" s="10" t="str">
        <x:v>Registration accuracy (Appendix D.4)</x:v>
      </x:c>
      <x:c r="H84" s="10" t="str">
        <x:v>Bore-laser check at 9 points from 3 standing positions; report mean/max angular error. This number goes in the methods section.</x:v>
      </x:c>
      <x:c r="I84" s="10" t="str">
        <x:v>G5 and G6 passed, D-01 and D-02 implemented</x:v>
      </x:c>
      <x:c r="J84" s="10" t="str">
        <x:v>P7.1</x:v>
      </x:c>
      <x:c r="K84" s="10" t="str"/>
      <x:c r="L84" s="10" t="str">
        <x:v>Acceptance criteria and required evidence are satisfied and recorded.</x:v>
      </x:c>
      <x:c r="M84" s="10" t="str">
        <x:v>Acceptance criteria and required evidence are satisfied and recorded.</x:v>
      </x:c>
      <x:c r="N84" s="10" t="str">
        <x:v>docs/validation/D.4-registration.md</x:v>
      </x:c>
      <x:c r="O84" s="10" t="str">
        <x:v>Investigator, developer, and lab operator</x:v>
      </x:c>
      <x:c r="P84" s="10" t="str">
        <x:v>lab_hardware</x:v>
      </x:c>
      <x:c r="Q84" s="10" t="str">
        <x:v>Lab validation</x:v>
      </x:c>
      <x:c r="R84" s="10" t="str">
        <x:v>not_started</x:v>
      </x:c>
      <x:c r="S84" s="10" t="str">
        <x:f>IF(COUNTIFS('Atomic Steps'!$C$6:$C$248,B84,'Atomic Steps'!$N$6:$N$248,"blocked")&gt;0,"blocked",IF(COUNTIFS('Atomic Steps'!$C$6:$C$248,B84,'Atomic Steps'!$N$6:$N$248,"in_progress")&gt;0,"in_progress",IF(COUNTIFS('Atomic Steps'!$C$6:$C$248,B84,'Atomic Steps'!$N$6:$N$248,"verification_pending")&gt;0,"verification_pending",IF(COUNTIFS('Atomic Steps'!$C$6:$C$248,B84,'Atomic Steps'!$N$6:$N$248,"done")=COUNTIF('Atomic Steps'!$C$6:$C$248,B84),"done",IF(COUNTIFS('Atomic Steps'!$C$6:$C$248,B84,'Atomic Steps'!$N$6:$N$248,"ready")&gt;0,"ready","not_started")))))</x:f>
        <x:v>not_started</x:v>
      </x:c>
      <x:c r="T84" s="10" t="str"/>
      <x:c r="U84" s="10" t="str"/>
      <x:c r="V84" s="10" t="str"/>
      <x:c r="W84" s="10" t="str">
        <x:v>ELTS Build Plan P7.5</x:v>
      </x:c>
    </x:row>
    <x:row r="85">
      <x:c r="A85" s="34" t="n">
        <x:v>80</x:v>
      </x:c>
      <x:c r="B85" s="34" t="str">
        <x:v>P7.6</x:v>
      </x:c>
      <x:c r="C85" s="34" t="str">
        <x:v>P7</x:v>
      </x:c>
      <x:c r="D85" s="34" t="str">
        <x:v>Bench validation and safety</x:v>
      </x:c>
      <x:c r="E85" s="34" t="str">
        <x:v>G7</x:v>
      </x:c>
      <x:c r="F85" s="34" t="str">
        <x:v>WS-C, WS-D, WS-E</x:v>
      </x:c>
      <x:c r="G85" s="34" t="str">
        <x:v>Logging and stability soak (Appendix D.6)</x:v>
      </x:c>
      <x:c r="H85" s="34" t="str">
        <x:v>Full 4-block session with real trackers and the ELTS cycling; zero drops, zero hitches, all files intact.</x:v>
      </x:c>
      <x:c r="I85" s="34" t="str">
        <x:v>G5 and G6 passed, D-01 and D-02 implemented</x:v>
      </x:c>
      <x:c r="J85" s="34" t="str">
        <x:v>P7.1:P7.5</x:v>
      </x:c>
      <x:c r="K85" s="34" t="str"/>
      <x:c r="L85" s="34" t="str">
        <x:v>Acceptance criteria and required evidence are satisfied and recorded.</x:v>
      </x:c>
      <x:c r="M85" s="34" t="str">
        <x:v>Acceptance criteria and required evidence are satisfied and recorded.</x:v>
      </x:c>
      <x:c r="N85" s="34" t="str">
        <x:v>docs/validation/D.6-soak.md</x:v>
      </x:c>
      <x:c r="O85" s="34" t="str">
        <x:v>Investigator, developer, and lab operator</x:v>
      </x:c>
      <x:c r="P85" s="34" t="str">
        <x:v>lab_hardware</x:v>
      </x:c>
      <x:c r="Q85" s="34" t="str">
        <x:v>Lab validation</x:v>
      </x:c>
      <x:c r="R85" s="34" t="str">
        <x:v>not_started</x:v>
      </x:c>
      <x:c r="S85" s="34" t="str">
        <x:f>IF(COUNTIFS('Atomic Steps'!$C$6:$C$248,B85,'Atomic Steps'!$N$6:$N$248,"blocked")&gt;0,"blocked",IF(COUNTIFS('Atomic Steps'!$C$6:$C$248,B85,'Atomic Steps'!$N$6:$N$248,"in_progress")&gt;0,"in_progress",IF(COUNTIFS('Atomic Steps'!$C$6:$C$248,B85,'Atomic Steps'!$N$6:$N$248,"verification_pending")&gt;0,"verification_pending",IF(COUNTIFS('Atomic Steps'!$C$6:$C$248,B85,'Atomic Steps'!$N$6:$N$248,"done")=COUNTIF('Atomic Steps'!$C$6:$C$248,B85),"done",IF(COUNTIFS('Atomic Steps'!$C$6:$C$248,B85,'Atomic Steps'!$N$6:$N$248,"ready")&gt;0,"ready","not_started")))))</x:f>
        <x:v>not_started</x:v>
      </x:c>
      <x:c r="T85" s="34" t="str"/>
      <x:c r="U85" s="34" t="str"/>
      <x:c r="V85" s="34" t="str"/>
      <x:c r="W85" s="34" t="str">
        <x:v>ELTS Build Plan P7.6</x:v>
      </x:c>
    </x:row>
    <x:row r="86">
      <x:c r="A86" s="10" t="n">
        <x:v>81</x:v>
      </x:c>
      <x:c r="B86" s="10" t="str">
        <x:v>P7.7</x:v>
      </x:c>
      <x:c r="C86" s="10" t="str">
        <x:v>P7</x:v>
      </x:c>
      <x:c r="D86" s="10" t="str">
        <x:v>Bench validation and safety</x:v>
      </x:c>
      <x:c r="E86" s="10" t="str">
        <x:v>G7</x:v>
      </x:c>
      <x:c r="F86" s="10" t="str">
        <x:v>WS-C, WS-D, WS-E</x:v>
      </x:c>
      <x:c r="G86" s="10" t="str">
        <x:v>Latency characterization (optional, Appendix D.8)</x:v>
      </x:c>
      <x:c r="H86" s="10" t="str">
        <x:v>Trigger-to-log and head-motion-to-photon, for the methods section. Constant across conditions, so not a validity threat.</x:v>
      </x:c>
      <x:c r="I86" s="10" t="str">
        <x:v>G5 and G6 passed, D-01 and D-02 implemented</x:v>
      </x:c>
      <x:c r="J86" s="10" t="str">
        <x:v>P7.1</x:v>
      </x:c>
      <x:c r="K86" s="10" t="str"/>
      <x:c r="L86" s="10" t="str">
        <x:v>Acceptance criteria and required evidence are satisfied and recorded.</x:v>
      </x:c>
      <x:c r="M86" s="10" t="str">
        <x:v>Acceptance criteria and required evidence are satisfied and recorded.</x:v>
      </x:c>
      <x:c r="N86" s="10" t="str">
        <x:v>Code, documentation, test evidence, or lab evidence named in the task</x:v>
      </x:c>
      <x:c r="O86" s="10" t="str">
        <x:v>Investigator, developer, and lab operator</x:v>
      </x:c>
      <x:c r="P86" s="10" t="str">
        <x:v>lab_hardware</x:v>
      </x:c>
      <x:c r="Q86" s="10" t="str">
        <x:v>Lab validation</x:v>
      </x:c>
      <x:c r="R86" s="10" t="str">
        <x:v>not_started</x:v>
      </x:c>
      <x:c r="S86" s="10" t="str">
        <x:f>IF(COUNTIFS('Atomic Steps'!$C$6:$C$248,B86,'Atomic Steps'!$N$6:$N$248,"blocked")&gt;0,"blocked",IF(COUNTIFS('Atomic Steps'!$C$6:$C$248,B86,'Atomic Steps'!$N$6:$N$248,"in_progress")&gt;0,"in_progress",IF(COUNTIFS('Atomic Steps'!$C$6:$C$248,B86,'Atomic Steps'!$N$6:$N$248,"verification_pending")&gt;0,"verification_pending",IF(COUNTIFS('Atomic Steps'!$C$6:$C$248,B86,'Atomic Steps'!$N$6:$N$248,"done")=COUNTIF('Atomic Steps'!$C$6:$C$248,B86),"done",IF(COUNTIFS('Atomic Steps'!$C$6:$C$248,B86,'Atomic Steps'!$N$6:$N$248,"ready")&gt;0,"ready","not_started")))))</x:f>
        <x:v>not_started</x:v>
      </x:c>
      <x:c r="T86" s="10" t="str"/>
      <x:c r="U86" s="10" t="str"/>
      <x:c r="V86" s="10" t="str"/>
      <x:c r="W86" s="10" t="str">
        <x:v>ELTS Build Plan P7.7</x:v>
      </x:c>
    </x:row>
    <x:row r="87">
      <x:c r="A87" s="34" t="n">
        <x:v>82</x:v>
      </x:c>
      <x:c r="B87" s="34" t="str">
        <x:v>P7.8</x:v>
      </x:c>
      <x:c r="C87" s="34" t="str">
        <x:v>P7</x:v>
      </x:c>
      <x:c r="D87" s="34" t="str">
        <x:v>Bench validation and safety</x:v>
      </x:c>
      <x:c r="E87" s="34" t="str">
        <x:v>G7</x:v>
      </x:c>
      <x:c r="F87" s="34" t="str">
        <x:v>WS-E, WS-F</x:v>
      </x:c>
      <x:c r="G87" s="34" t="str">
        <x:v>Safety sheet completion</x:v>
      </x:c>
      <x:c r="H87" s="34" t="str">
        <x:v>Close D-13 and D-14; confirm the max on-time guard (P6.8) matches the sheet; confirm the E-stop is labeled and reachable from the operator station.</x:v>
      </x:c>
      <x:c r="I87" s="34" t="str">
        <x:v>G5 and G6 passed, D-01 and D-02 implemented</x:v>
      </x:c>
      <x:c r="J87" s="34" t="str">
        <x:v>P6.8, D-13, D-14</x:v>
      </x:c>
      <x:c r="K87" s="34" t="str">
        <x:v>D-13, D-14</x:v>
      </x:c>
      <x:c r="L87" s="34" t="str">
        <x:v>Acceptance criteria and required evidence are satisfied and recorded.</x:v>
      </x:c>
      <x:c r="M87" s="34" t="str">
        <x:v>Acceptance criteria and required evidence are satisfied and recorded.</x:v>
      </x:c>
      <x:c r="N87" s="34" t="str">
        <x:v>docs/safety/</x:v>
      </x:c>
      <x:c r="O87" s="34" t="str">
        <x:v>Investigator, developer, and lab operator</x:v>
      </x:c>
      <x:c r="P87" s="34" t="str">
        <x:v>lab_hardware</x:v>
      </x:c>
      <x:c r="Q87" s="34" t="str">
        <x:v>Lab validation</x:v>
      </x:c>
      <x:c r="R87" s="34" t="str">
        <x:v>not_started</x:v>
      </x:c>
      <x:c r="S87" s="34" t="str">
        <x:f>IF(COUNTIFS('Atomic Steps'!$C$6:$C$248,B87,'Atomic Steps'!$N$6:$N$248,"blocked")&gt;0,"blocked",IF(COUNTIFS('Atomic Steps'!$C$6:$C$248,B87,'Atomic Steps'!$N$6:$N$248,"in_progress")&gt;0,"in_progress",IF(COUNTIFS('Atomic Steps'!$C$6:$C$248,B87,'Atomic Steps'!$N$6:$N$248,"verification_pending")&gt;0,"verification_pending",IF(COUNTIFS('Atomic Steps'!$C$6:$C$248,B87,'Atomic Steps'!$N$6:$N$248,"done")=COUNTIF('Atomic Steps'!$C$6:$C$248,B87),"done",IF(COUNTIFS('Atomic Steps'!$C$6:$C$248,B87,'Atomic Steps'!$N$6:$N$248,"ready")&gt;0,"ready","not_started")))))</x:f>
        <x:v>not_started</x:v>
      </x:c>
      <x:c r="T87" s="34" t="str"/>
      <x:c r="U87" s="34" t="str"/>
      <x:c r="V87" s="34" t="str"/>
      <x:c r="W87" s="34" t="str">
        <x:v>ELTS Build Plan P7.8</x:v>
      </x:c>
    </x:row>
    <x:row r="88">
      <x:c r="A88" s="10" t="n">
        <x:v>83</x:v>
      </x:c>
      <x:c r="B88" s="10" t="str">
        <x:v>P7.9</x:v>
      </x:c>
      <x:c r="C88" s="10" t="str">
        <x:v>P7</x:v>
      </x:c>
      <x:c r="D88" s="10" t="str">
        <x:v>Bench validation and safety</x:v>
      </x:c>
      <x:c r="E88" s="10" t="str">
        <x:v>G7</x:v>
      </x:c>
      <x:c r="F88" s="10" t="str">
        <x:v>WS-C, WS-D, WS-E</x:v>
      </x:c>
      <x:c r="G88" s="10" t="str">
        <x:v>Freeze thresholds (D-17)</x:v>
      </x:c>
      <x:c r="H88" s="10" t="str">
        <x:v>Replace every "provisional" threshold with the value chosen from P7.2–P7.5 results; record in docs/thresholds.md; do not change again during data collection.</x:v>
      </x:c>
      <x:c r="I88" s="10" t="str">
        <x:v>G5 and G6 passed, D-01 and D-02 implemented</x:v>
      </x:c>
      <x:c r="J88" s="10" t="str">
        <x:v>P7.2:P7.5, D-17</x:v>
      </x:c>
      <x:c r="K88" s="10" t="str">
        <x:v>D-17</x:v>
      </x:c>
      <x:c r="L88" s="10" t="str">
        <x:v>Acceptance criteria and required evidence are satisfied and recorded.</x:v>
      </x:c>
      <x:c r="M88" s="10" t="str">
        <x:v>Acceptance criteria and required evidence are satisfied and recorded.</x:v>
      </x:c>
      <x:c r="N88" s="10" t="str">
        <x:v>docs/thresholds.md</x:v>
      </x:c>
      <x:c r="O88" s="10" t="str">
        <x:v>Investigator, developer, and lab operator</x:v>
      </x:c>
      <x:c r="P88" s="10" t="str">
        <x:v>lab_hardware</x:v>
      </x:c>
      <x:c r="Q88" s="10" t="str">
        <x:v>Lab validation</x:v>
      </x:c>
      <x:c r="R88" s="10" t="str">
        <x:v>not_started</x:v>
      </x:c>
      <x:c r="S88" s="10" t="str">
        <x:f>IF(COUNTIFS('Atomic Steps'!$C$6:$C$248,B88,'Atomic Steps'!$N$6:$N$248,"blocked")&gt;0,"blocked",IF(COUNTIFS('Atomic Steps'!$C$6:$C$248,B88,'Atomic Steps'!$N$6:$N$248,"in_progress")&gt;0,"in_progress",IF(COUNTIFS('Atomic Steps'!$C$6:$C$248,B88,'Atomic Steps'!$N$6:$N$248,"verification_pending")&gt;0,"verification_pending",IF(COUNTIFS('Atomic Steps'!$C$6:$C$248,B88,'Atomic Steps'!$N$6:$N$248,"done")=COUNTIF('Atomic Steps'!$C$6:$C$248,B88),"done",IF(COUNTIFS('Atomic Steps'!$C$6:$C$248,B88,'Atomic Steps'!$N$6:$N$248,"ready")&gt;0,"ready","not_started")))))</x:f>
        <x:v>not_started</x:v>
      </x:c>
      <x:c r="T88" s="10" t="str"/>
      <x:c r="U88" s="10" t="str"/>
      <x:c r="V88" s="10" t="str"/>
      <x:c r="W88" s="10" t="str">
        <x:v>ELTS Build Plan P7.9</x:v>
      </x:c>
    </x:row>
    <x:row r="89">
      <x:c r="A89" s="34" t="n">
        <x:v>84</x:v>
      </x:c>
      <x:c r="B89" s="34" t="str">
        <x:v>P8.1</x:v>
      </x:c>
      <x:c r="C89" s="34" t="str">
        <x:v>P8</x:v>
      </x:c>
      <x:c r="D89" s="34" t="str">
        <x:v>Pilot and freeze</x:v>
      </x:c>
      <x:c r="E89" s="34" t="str">
        <x:v>G8</x:v>
      </x:c>
      <x:c r="F89" s="34" t="str">
        <x:v>WS-E, WS-F</x:v>
      </x:c>
      <x:c r="G89" s="34" t="str">
        <x:v>Scenario and session parameters finalized</x:v>
      </x:c>
      <x:c r="H89" s="34" t="str">
        <x:v>D-04 through D-08 entered into the data files; a lab member plays each condition and the investigators sign off that the task behaves as intended.</x:v>
      </x:c>
      <x:c r="I89" s="34" t="str">
        <x:v>G7 passed and all decisions closed except D-15</x:v>
      </x:c>
      <x:c r="J89" s="34" t="str">
        <x:v>G7, D-04, D-05, D-06, D-07, D-08, D-16</x:v>
      </x:c>
      <x:c r="K89" s="34" t="str">
        <x:v>D-04, D-08</x:v>
      </x:c>
      <x:c r="L89" s="34" t="str">
        <x:v>Acceptance criteria and required evidence are satisfied and recorded.</x:v>
      </x:c>
      <x:c r="M89" s="34" t="str">
        <x:v>Acceptance criteria and required evidence are satisfied and recorded.</x:v>
      </x:c>
      <x:c r="N89" s="34" t="str">
        <x:v>Code, documentation, test evidence, or lab evidence named in the task</x:v>
      </x:c>
      <x:c r="O89" s="34" t="str">
        <x:v>Investigator, developer, and lab operator</x:v>
      </x:c>
      <x:c r="P89" s="34" t="str">
        <x:v>mixed</x:v>
      </x:c>
      <x:c r="Q89" s="34" t="str">
        <x:v>Study operations and release</x:v>
      </x:c>
      <x:c r="R89" s="34" t="str">
        <x:v>not_started</x:v>
      </x:c>
      <x:c r="S89" s="34" t="str">
        <x:f>IF(COUNTIFS('Atomic Steps'!$C$6:$C$248,B89,'Atomic Steps'!$N$6:$N$248,"blocked")&gt;0,"blocked",IF(COUNTIFS('Atomic Steps'!$C$6:$C$248,B89,'Atomic Steps'!$N$6:$N$248,"in_progress")&gt;0,"in_progress",IF(COUNTIFS('Atomic Steps'!$C$6:$C$248,B89,'Atomic Steps'!$N$6:$N$248,"verification_pending")&gt;0,"verification_pending",IF(COUNTIFS('Atomic Steps'!$C$6:$C$248,B89,'Atomic Steps'!$N$6:$N$248,"done")=COUNTIF('Atomic Steps'!$C$6:$C$248,B89),"done",IF(COUNTIFS('Atomic Steps'!$C$6:$C$248,B89,'Atomic Steps'!$N$6:$N$248,"ready")&gt;0,"ready","not_started")))))</x:f>
        <x:v>not_started</x:v>
      </x:c>
      <x:c r="T89" s="34" t="str"/>
      <x:c r="U89" s="34" t="str"/>
      <x:c r="V89" s="34" t="str"/>
      <x:c r="W89" s="34" t="str">
        <x:v>ELTS Build Plan P8.1</x:v>
      </x:c>
    </x:row>
    <x:row r="90">
      <x:c r="A90" s="10" t="n">
        <x:v>85</x:v>
      </x:c>
      <x:c r="B90" s="10" t="str">
        <x:v>P8.2</x:v>
      </x:c>
      <x:c r="C90" s="10" t="str">
        <x:v>P8</x:v>
      </x:c>
      <x:c r="D90" s="10" t="str">
        <x:v>Pilot and freeze</x:v>
      </x:c>
      <x:c r="E90" s="10" t="str">
        <x:v>G8</x:v>
      </x:c>
      <x:c r="F90" s="10" t="str">
        <x:v>WS-E, WS-F</x:v>
      </x:c>
      <x:c r="G90" s="10" t="str">
        <x:v>Operator documentation</x:v>
      </x:c>
      <x:c r="H90" s="10" t="str">
        <x:v>Daily rig check (Appendix C.6), pre-session checklist, session runbook mapping the briefing §3.3 timeline to application states, post-session checklist (backup, notes, equipment stowage), troubleshooting (tracker dropout, link lost, display swap, restart-from-abort). All in Appendix E, finalized here.</x:v>
      </x:c>
      <x:c r="I90" s="10" t="str">
        <x:v>G7 passed and all decisions closed except D-15</x:v>
      </x:c>
      <x:c r="J90" s="10" t="str">
        <x:v>G7</x:v>
      </x:c>
      <x:c r="K90" s="10" t="str"/>
      <x:c r="L90" s="10" t="str">
        <x:v>Acceptance criteria and required evidence are satisfied and recorded.</x:v>
      </x:c>
      <x:c r="M90" s="10" t="str">
        <x:v>Acceptance criteria and required evidence are satisfied and recorded.</x:v>
      </x:c>
      <x:c r="N90" s="10" t="str">
        <x:v>docs/operator/</x:v>
      </x:c>
      <x:c r="O90" s="10" t="str">
        <x:v>Investigator, developer, and lab operator</x:v>
      </x:c>
      <x:c r="P90" s="10" t="str">
        <x:v>mixed</x:v>
      </x:c>
      <x:c r="Q90" s="10" t="str">
        <x:v>Study operations and release</x:v>
      </x:c>
      <x:c r="R90" s="10" t="str">
        <x:v>not_started</x:v>
      </x:c>
      <x:c r="S90" s="10" t="str">
        <x:f>IF(COUNTIFS('Atomic Steps'!$C$6:$C$248,B90,'Atomic Steps'!$N$6:$N$248,"blocked")&gt;0,"blocked",IF(COUNTIFS('Atomic Steps'!$C$6:$C$248,B90,'Atomic Steps'!$N$6:$N$248,"in_progress")&gt;0,"in_progress",IF(COUNTIFS('Atomic Steps'!$C$6:$C$248,B90,'Atomic Steps'!$N$6:$N$248,"verification_pending")&gt;0,"verification_pending",IF(COUNTIFS('Atomic Steps'!$C$6:$C$248,B90,'Atomic Steps'!$N$6:$N$248,"done")=COUNTIF('Atomic Steps'!$C$6:$C$248,B90),"done",IF(COUNTIFS('Atomic Steps'!$C$6:$C$248,B90,'Atomic Steps'!$N$6:$N$248,"ready")&gt;0,"ready","not_started")))))</x:f>
        <x:v>not_started</x:v>
      </x:c>
      <x:c r="T90" s="10" t="str"/>
      <x:c r="U90" s="10" t="str"/>
      <x:c r="V90" s="10" t="str"/>
      <x:c r="W90" s="10" t="str">
        <x:v>ELTS Build Plan P8.2</x:v>
      </x:c>
    </x:row>
    <x:row r="91">
      <x:c r="A91" s="34" t="n">
        <x:v>86</x:v>
      </x:c>
      <x:c r="B91" s="34" t="str">
        <x:v>P8.3</x:v>
      </x:c>
      <x:c r="C91" s="34" t="str">
        <x:v>P8</x:v>
      </x:c>
      <x:c r="D91" s="34" t="str">
        <x:v>Pilot and freeze</x:v>
      </x:c>
      <x:c r="E91" s="34" t="str">
        <x:v>G8</x:v>
      </x:c>
      <x:c r="F91" s="34" t="str">
        <x:v>WS-E, WS-F</x:v>
      </x:c>
      <x:c r="G91" s="34" t="str">
        <x:v>Data handling</x:v>
      </x:c>
      <x:c r="H91" s="34" t="str">
        <x:v>Participant folders named by de-identified ID only; no names anywhere in logs; nightly copy of data/ to the lab's secure storage; a checksum manifest per session; retention per the IRB protocol.</x:v>
      </x:c>
      <x:c r="I91" s="34" t="str">
        <x:v>G7 passed and all decisions closed except D-15</x:v>
      </x:c>
      <x:c r="J91" s="34" t="str">
        <x:v>G7</x:v>
      </x:c>
      <x:c r="K91" s="34" t="str"/>
      <x:c r="L91" s="34" t="str">
        <x:v>Acceptance criteria and required evidence are satisfied and recorded.</x:v>
      </x:c>
      <x:c r="M91" s="34" t="str">
        <x:v>Acceptance criteria and required evidence are satisfied and recorded.</x:v>
      </x:c>
      <x:c r="N91" s="34" t="str">
        <x:v>docs/DATA-GOVERNANCE.md</x:v>
      </x:c>
      <x:c r="O91" s="34" t="str">
        <x:v>Investigator, developer, and lab operator</x:v>
      </x:c>
      <x:c r="P91" s="34" t="str">
        <x:v>mixed</x:v>
      </x:c>
      <x:c r="Q91" s="34" t="str">
        <x:v>Study operations and release</x:v>
      </x:c>
      <x:c r="R91" s="34" t="str">
        <x:v>not_started</x:v>
      </x:c>
      <x:c r="S91" s="34" t="str">
        <x:f>IF(COUNTIFS('Atomic Steps'!$C$6:$C$248,B91,'Atomic Steps'!$N$6:$N$248,"blocked")&gt;0,"blocked",IF(COUNTIFS('Atomic Steps'!$C$6:$C$248,B91,'Atomic Steps'!$N$6:$N$248,"in_progress")&gt;0,"in_progress",IF(COUNTIFS('Atomic Steps'!$C$6:$C$248,B91,'Atomic Steps'!$N$6:$N$248,"verification_pending")&gt;0,"verification_pending",IF(COUNTIFS('Atomic Steps'!$C$6:$C$248,B91,'Atomic Steps'!$N$6:$N$248,"done")=COUNTIF('Atomic Steps'!$C$6:$C$248,B91),"done",IF(COUNTIFS('Atomic Steps'!$C$6:$C$248,B91,'Atomic Steps'!$N$6:$N$248,"ready")&gt;0,"ready","not_started")))))</x:f>
        <x:v>not_started</x:v>
      </x:c>
      <x:c r="T91" s="34" t="str"/>
      <x:c r="U91" s="34" t="str"/>
      <x:c r="V91" s="34" t="str"/>
      <x:c r="W91" s="34" t="str">
        <x:v>ELTS Build Plan P8.3</x:v>
      </x:c>
    </x:row>
    <x:row r="92">
      <x:c r="A92" s="10" t="n">
        <x:v>87</x:v>
      </x:c>
      <x:c r="B92" s="10" t="str">
        <x:v>P8.4</x:v>
      </x:c>
      <x:c r="C92" s="10" t="str">
        <x:v>P8</x:v>
      </x:c>
      <x:c r="D92" s="10" t="str">
        <x:v>Pilot and freeze</x:v>
      </x:c>
      <x:c r="E92" s="10" t="str">
        <x:v>G8</x:v>
      </x:c>
      <x:c r="F92" s="10" t="str">
        <x:v>WS-E, WS-F</x:v>
      </x:c>
      <x:c r="G92" s="10" t="str">
        <x:v>Cross-device sync rehearsal (D-12)</x:v>
      </x:c>
      <x:c r="H92" s="10" t="str">
        <x:v>With the collaborators' eye tracker, HRV, and IMU recording, run one session and use the SyncMarker events (and whatever physical sync D-12 specifies) to align all streams offline. Confirm each collaborator can locate block boundaries in their own data.</x:v>
      </x:c>
      <x:c r="I92" s="10" t="str">
        <x:v>G7 passed and all decisions closed except D-15</x:v>
      </x:c>
      <x:c r="J92" s="10" t="str">
        <x:v>D-12</x:v>
      </x:c>
      <x:c r="K92" s="10" t="str">
        <x:v>D-12</x:v>
      </x:c>
      <x:c r="L92" s="10" t="str">
        <x:v>Acceptance criteria and required evidence are satisfied and recorded.</x:v>
      </x:c>
      <x:c r="M92" s="10" t="str">
        <x:v>Acceptance criteria and required evidence are satisfied and recorded.</x:v>
      </x:c>
      <x:c r="N92" s="10" t="str">
        <x:v>docs/validation/cross-device-sync.md</x:v>
      </x:c>
      <x:c r="O92" s="10" t="str">
        <x:v>Investigator, developer, and lab operator</x:v>
      </x:c>
      <x:c r="P92" s="10" t="str">
        <x:v>mixed</x:v>
      </x:c>
      <x:c r="Q92" s="10" t="str">
        <x:v>Study operations and release</x:v>
      </x:c>
      <x:c r="R92" s="10" t="str">
        <x:v>not_started</x:v>
      </x:c>
      <x:c r="S92" s="10" t="str">
        <x:f>IF(COUNTIFS('Atomic Steps'!$C$6:$C$248,B92,'Atomic Steps'!$N$6:$N$248,"blocked")&gt;0,"blocked",IF(COUNTIFS('Atomic Steps'!$C$6:$C$248,B92,'Atomic Steps'!$N$6:$N$248,"in_progress")&gt;0,"in_progress",IF(COUNTIFS('Atomic Steps'!$C$6:$C$248,B92,'Atomic Steps'!$N$6:$N$248,"verification_pending")&gt;0,"verification_pending",IF(COUNTIFS('Atomic Steps'!$C$6:$C$248,B92,'Atomic Steps'!$N$6:$N$248,"done")=COUNTIF('Atomic Steps'!$C$6:$C$248,B92),"done",IF(COUNTIFS('Atomic Steps'!$C$6:$C$248,B92,'Atomic Steps'!$N$6:$N$248,"ready")&gt;0,"ready","not_started")))))</x:f>
        <x:v>not_started</x:v>
      </x:c>
      <x:c r="T92" s="10" t="str"/>
      <x:c r="U92" s="10" t="str"/>
      <x:c r="V92" s="10" t="str"/>
      <x:c r="W92" s="10" t="str">
        <x:v>ELTS Build Plan P8.4</x:v>
      </x:c>
    </x:row>
    <x:row r="93">
      <x:c r="A93" s="34" t="n">
        <x:v>88</x:v>
      </x:c>
      <x:c r="B93" s="34" t="str">
        <x:v>P8.5</x:v>
      </x:c>
      <x:c r="C93" s="34" t="str">
        <x:v>P8</x:v>
      </x:c>
      <x:c r="D93" s="34" t="str">
        <x:v>Pilot and freeze</x:v>
      </x:c>
      <x:c r="E93" s="34" t="str">
        <x:v>G8</x:v>
      </x:c>
      <x:c r="F93" s="34" t="str">
        <x:v>WS-E, WS-F</x:v>
      </x:c>
      <x:c r="G93" s="34" t="str">
        <x:v>Pilot sessions</x:v>
      </x:c>
      <x:c r="H93" s="34" t="str">
        <x:v>At least three complete sessions with lab members as pseudo-participants, run by the person who will actually operate the study, following the runbook, with the developer observing but not touching. Fix what breaks; re-run until three consecutive sessions need no intervention.</x:v>
      </x:c>
      <x:c r="I93" s="34" t="str">
        <x:v>G7 passed and all decisions closed except D-15</x:v>
      </x:c>
      <x:c r="J93" s="34" t="str">
        <x:v>P8.1:P8.4</x:v>
      </x:c>
      <x:c r="K93" s="34" t="str"/>
      <x:c r="L93" s="34" t="str">
        <x:v>Acceptance criteria and required evidence are satisfied and recorded.</x:v>
      </x:c>
      <x:c r="M93" s="34" t="str">
        <x:v>Acceptance criteria and required evidence are satisfied and recorded.</x:v>
      </x:c>
      <x:c r="N93" s="34" t="str">
        <x:v>pilot summaries</x:v>
      </x:c>
      <x:c r="O93" s="34" t="str">
        <x:v>Investigator, developer, and lab operator</x:v>
      </x:c>
      <x:c r="P93" s="34" t="str">
        <x:v>mixed</x:v>
      </x:c>
      <x:c r="Q93" s="34" t="str">
        <x:v>Study operations and release</x:v>
      </x:c>
      <x:c r="R93" s="34" t="str">
        <x:v>not_started</x:v>
      </x:c>
      <x:c r="S93" s="34" t="str">
        <x:f>IF(COUNTIFS('Atomic Steps'!$C$6:$C$248,B93,'Atomic Steps'!$N$6:$N$248,"blocked")&gt;0,"blocked",IF(COUNTIFS('Atomic Steps'!$C$6:$C$248,B93,'Atomic Steps'!$N$6:$N$248,"in_progress")&gt;0,"in_progress",IF(COUNTIFS('Atomic Steps'!$C$6:$C$248,B93,'Atomic Steps'!$N$6:$N$248,"verification_pending")&gt;0,"verification_pending",IF(COUNTIFS('Atomic Steps'!$C$6:$C$248,B93,'Atomic Steps'!$N$6:$N$248,"done")=COUNTIF('Atomic Steps'!$C$6:$C$248,B93),"done",IF(COUNTIFS('Atomic Steps'!$C$6:$C$248,B93,'Atomic Steps'!$N$6:$N$248,"ready")&gt;0,"ready","not_started")))))</x:f>
        <x:v>not_started</x:v>
      </x:c>
      <x:c r="T93" s="34" t="str"/>
      <x:c r="U93" s="34" t="str"/>
      <x:c r="V93" s="34" t="str"/>
      <x:c r="W93" s="34" t="str">
        <x:v>ELTS Build Plan P8.5</x:v>
      </x:c>
    </x:row>
    <x:row r="94">
      <x:c r="A94" s="10" t="n">
        <x:v>89</x:v>
      </x:c>
      <x:c r="B94" s="10" t="str">
        <x:v>P8.6</x:v>
      </x:c>
      <x:c r="C94" s="10" t="str">
        <x:v>P8</x:v>
      </x:c>
      <x:c r="D94" s="10" t="str">
        <x:v>Pilot and freeze</x:v>
      </x:c>
      <x:c r="E94" s="10" t="str">
        <x:v>G8</x:v>
      </x:c>
      <x:c r="F94" s="10" t="str">
        <x:v>WS-E, WS-F</x:v>
      </x:c>
      <x:c r="G94" s="10" t="str">
        <x:v>Analysis dry run</x:v>
      </x:c>
      <x:c r="H94" s="10" t="str">
        <x:v>ingest.py (extended as needed) processes all pilot data into the block-level table the statistical analysis will use: participant, order position, condition, targets destroyed, valid-sample fraction, mean/median aim error (valid samples only), shots, hits. Hand-check one block against the raw events.</x:v>
      </x:c>
      <x:c r="I94" s="10" t="str">
        <x:v>G7 passed and all decisions closed except D-15</x:v>
      </x:c>
      <x:c r="J94" s="10" t="str">
        <x:v>P8.5</x:v>
      </x:c>
      <x:c r="K94" s="10" t="str"/>
      <x:c r="L94" s="10" t="str">
        <x:v>Acceptance criteria and required evidence are satisfied and recorded.</x:v>
      </x:c>
      <x:c r="M94" s="10" t="str">
        <x:v>Acceptance criteria and required evidence are satisfied and recorded.</x:v>
      </x:c>
      <x:c r="N94" s="10" t="str">
        <x:v>analysis block-level output</x:v>
      </x:c>
      <x:c r="O94" s="10" t="str">
        <x:v>Investigator, developer, and lab operator</x:v>
      </x:c>
      <x:c r="P94" s="10" t="str">
        <x:v>agent</x:v>
      </x:c>
      <x:c r="Q94" s="10" t="str">
        <x:v>Study operations and release</x:v>
      </x:c>
      <x:c r="R94" s="10" t="str">
        <x:v>not_started</x:v>
      </x:c>
      <x:c r="S94" s="10" t="str">
        <x:f>IF(COUNTIFS('Atomic Steps'!$C$6:$C$248,B94,'Atomic Steps'!$N$6:$N$248,"blocked")&gt;0,"blocked",IF(COUNTIFS('Atomic Steps'!$C$6:$C$248,B94,'Atomic Steps'!$N$6:$N$248,"in_progress")&gt;0,"in_progress",IF(COUNTIFS('Atomic Steps'!$C$6:$C$248,B94,'Atomic Steps'!$N$6:$N$248,"verification_pending")&gt;0,"verification_pending",IF(COUNTIFS('Atomic Steps'!$C$6:$C$248,B94,'Atomic Steps'!$N$6:$N$248,"done")=COUNTIF('Atomic Steps'!$C$6:$C$248,B94),"done",IF(COUNTIFS('Atomic Steps'!$C$6:$C$248,B94,'Atomic Steps'!$N$6:$N$248,"ready")&gt;0,"ready","not_started")))))</x:f>
        <x:v>not_started</x:v>
      </x:c>
      <x:c r="T94" s="10" t="str"/>
      <x:c r="U94" s="10" t="str"/>
      <x:c r="V94" s="10" t="str"/>
      <x:c r="W94" s="10" t="str">
        <x:v>ELTS Build Plan P8.6</x:v>
      </x:c>
    </x:row>
    <x:row r="95">
      <x:c r="A95" s="34" t="n">
        <x:v>90</x:v>
      </x:c>
      <x:c r="B95" s="34" t="str">
        <x:v>P8.7</x:v>
      </x:c>
      <x:c r="C95" s="34" t="str">
        <x:v>P8</x:v>
      </x:c>
      <x:c r="D95" s="34" t="str">
        <x:v>Pilot and freeze</x:v>
      </x:c>
      <x:c r="E95" s="34" t="str">
        <x:v>G8</x:v>
      </x:c>
      <x:c r="F95" s="34" t="str">
        <x:v>WS-C, WS-F</x:v>
      </x:c>
      <x:c r="G95" s="34" t="str">
        <x:v>Freeze</x:v>
      </x:c>
      <x:c r="H95" s="34" t="str">
        <x:v>Tag the release (study-v1.0); build; record the build hash; lock rig.json, calibration_rig.json, scenario, and session files (hashes recorded in docs/frozen.md; local.json is deliberately excluded). Any change during data collection requires a new tag and a note in the study log.</x:v>
      </x:c>
      <x:c r="I95" s="34" t="str">
        <x:v>G7 passed and all decisions closed except D-15</x:v>
      </x:c>
      <x:c r="J95" s="34" t="str">
        <x:v>P8.1:P8.6</x:v>
      </x:c>
      <x:c r="K95" s="34" t="str"/>
      <x:c r="L95" s="34" t="str">
        <x:v>Acceptance criteria and required evidence are satisfied and recorded.</x:v>
      </x:c>
      <x:c r="M95" s="34" t="str">
        <x:v>Acceptance criteria and required evidence are satisfied and recorded.</x:v>
      </x:c>
      <x:c r="N95" s="34" t="str">
        <x:v>tag, release bundle, docs/frozen.md</x:v>
      </x:c>
      <x:c r="O95" s="34" t="str">
        <x:v>Investigator, developer, and lab operator</x:v>
      </x:c>
      <x:c r="P95" s="34" t="str">
        <x:v>agent</x:v>
      </x:c>
      <x:c r="Q95" s="34" t="str">
        <x:v>Study operations and release</x:v>
      </x:c>
      <x:c r="R95" s="34" t="str">
        <x:v>not_started</x:v>
      </x:c>
      <x:c r="S95" s="34" t="str">
        <x:f>IF(COUNTIFS('Atomic Steps'!$C$6:$C$248,B95,'Atomic Steps'!$N$6:$N$248,"blocked")&gt;0,"blocked",IF(COUNTIFS('Atomic Steps'!$C$6:$C$248,B95,'Atomic Steps'!$N$6:$N$248,"in_progress")&gt;0,"in_progress",IF(COUNTIFS('Atomic Steps'!$C$6:$C$248,B95,'Atomic Steps'!$N$6:$N$248,"verification_pending")&gt;0,"verification_pending",IF(COUNTIFS('Atomic Steps'!$C$6:$C$248,B95,'Atomic Steps'!$N$6:$N$248,"done")=COUNTIF('Atomic Steps'!$C$6:$C$248,B95),"done",IF(COUNTIFS('Atomic Steps'!$C$6:$C$248,B95,'Atomic Steps'!$N$6:$N$248,"ready")&gt;0,"ready","not_started")))))</x:f>
        <x:v>not_started</x:v>
      </x:c>
      <x:c r="T95" s="34" t="str"/>
      <x:c r="U95" s="34" t="str"/>
      <x:c r="V95" s="34" t="str"/>
      <x:c r="W95" s="34" t="str">
        <x:v>ELTS Build Plan P8.7</x:v>
      </x:c>
    </x:row>
    <x:row r="96">
      <x:c r="A96" s="33" t="n">
        <x:v>91</x:v>
      </x:c>
      <x:c r="B96" s="33" t="str">
        <x:v>P8.8</x:v>
      </x:c>
      <x:c r="C96" s="33" t="str">
        <x:v>P8</x:v>
      </x:c>
      <x:c r="D96" s="33" t="str">
        <x:v>Pilot and freeze</x:v>
      </x:c>
      <x:c r="E96" s="33" t="str">
        <x:v>G8</x:v>
      </x:c>
      <x:c r="F96" s="33" t="str">
        <x:v>WS-E, WS-F</x:v>
      </x:c>
      <x:c r="G96" s="33" t="str">
        <x:v>Spares and contingencies</x:v>
      </x:c>
      <x:c r="H96" s="33" t="str">
        <x:v>Spare microswitch, spare tracker battery/charger routine, spare pogo board, printed spare cradle, the manual ELTS start path (A5) documented as fallback.</x:v>
      </x:c>
      <x:c r="I96" s="33" t="str">
        <x:v>G7 passed and all decisions closed except D-15</x:v>
      </x:c>
      <x:c r="J96" s="33" t="str">
        <x:v>P8.2</x:v>
      </x:c>
      <x:c r="K96" s="33" t="str"/>
      <x:c r="L96" s="33" t="str">
        <x:v>Acceptance criteria and required evidence are satisfied and recorded.</x:v>
      </x:c>
      <x:c r="M96" s="33" t="str">
        <x:v>Acceptance criteria and required evidence are satisfied and recorded.</x:v>
      </x:c>
      <x:c r="N96" s="33" t="str">
        <x:v>docs/operator/contingencies.md</x:v>
      </x:c>
      <x:c r="O96" s="33" t="str">
        <x:v>Investigator, developer, and lab operator</x:v>
      </x:c>
      <x:c r="P96" s="33" t="str">
        <x:v>mixed</x:v>
      </x:c>
      <x:c r="Q96" s="33" t="str">
        <x:v>Study operations and release</x:v>
      </x:c>
      <x:c r="R96" s="33" t="str">
        <x:v>not_started</x:v>
      </x:c>
      <x:c r="S96" s="33" t="str">
        <x:f>IF(COUNTIFS('Atomic Steps'!$C$6:$C$248,B96,'Atomic Steps'!$N$6:$N$248,"blocked")&gt;0,"blocked",IF(COUNTIFS('Atomic Steps'!$C$6:$C$248,B96,'Atomic Steps'!$N$6:$N$248,"in_progress")&gt;0,"in_progress",IF(COUNTIFS('Atomic Steps'!$C$6:$C$248,B96,'Atomic Steps'!$N$6:$N$248,"verification_pending")&gt;0,"verification_pending",IF(COUNTIFS('Atomic Steps'!$C$6:$C$248,B96,'Atomic Steps'!$N$6:$N$248,"done")=COUNTIF('Atomic Steps'!$C$6:$C$248,B96),"done",IF(COUNTIFS('Atomic Steps'!$C$6:$C$248,B96,'Atomic Steps'!$N$6:$N$248,"ready")&gt;0,"ready","not_started")))))</x:f>
        <x:v>not_started</x:v>
      </x:c>
      <x:c r="T96" s="33" t="str"/>
      <x:c r="U96" s="33" t="str"/>
      <x:c r="V96" s="33" t="str"/>
      <x:c r="W96" s="33" t="str">
        <x:v>ELTS Build Plan P8.8</x:v>
      </x:c>
    </x:row>
  </x:sheetData>
  <x:mergeCells>
    <x:mergeCell ref="A1:W1"/>
    <x:mergeCell ref="A2:W2"/>
  </x:mergeCells>
  <x:conditionalFormatting sqref="S6:S96">
    <x:cfRule type="containsText" dxfId="0" priority="1" operator="containsText" text="done"/>
    <x:cfRule type="containsText" dxfId="1" priority="2" operator="containsText" text="passed"/>
    <x:cfRule type="containsText" dxfId="2" priority="3" operator="containsText" text="in_progress"/>
    <x:cfRule type="containsText" dxfId="3" priority="4" operator="containsText" text="verification_pending"/>
    <x:cfRule type="containsText" dxfId="4" priority="5" operator="containsText" text="ready"/>
    <x:cfRule type="containsText" dxfId="5" priority="6" operator="containsText" text="blocked"/>
    <x:cfRule type="containsText" dxfId="6" priority="7" operator="containsText" text="fail"/>
  </x:conditionalFormatting>
  <x:dataValidations count="2">
    <x:dataValidation type="list" sqref="R6:R96">
      <x:formula1>"not_started,ready,in_progress,blocked,verification_pending,done,superseded"</x:formula1>
    </x:dataValidation>
    <x:dataValidation type="list" sqref="P6:P96">
      <x:formula1>"agent,human,mixed,lab_hardware,automated_check"</x:formula1>
    </x:dataValidation>
  </x:dataValidations>
  <x:pageMargins left="0.7" right="0.7" top="0.75" bottom="0.75" header="0.3" footer="0.3"/>
  <x:tableParts count="1">
    <x:tablePart xmlns:r="http://schemas.openxmlformats.org/officeDocument/2006/relationships" r:id="Rea9785c848ea44dd"/>
  </x:tableParts>
</x:worksheet>
</file>

<file path=xl/worksheets/sheet5.xml><?xml version="1.0" encoding="utf-8"?>
<x:worksheet xmlns:x="http://schemas.openxmlformats.org/spreadsheetml/2006/main">
  <x:sheetPr>
    <x:tabColor rgb="FF70AD47"/>
  </x:sheetPr>
  <x:sheetViews>
    <x:sheetView showGridLines="0" workbookViewId="0">
      <x:pane xSplit="3" ySplit="5" topLeftCell="D6" activePane="bottomRight" state="frozen"/>
    </x:sheetView>
  </x:sheetViews>
  <x:sheetFormatPr defaultRowHeight="15"/>
  <x:cols>
    <x:col min="1" max="1" width="9" hidden="0" customWidth="1"/>
    <x:col min="2" max="2" width="18" hidden="0" customWidth="1"/>
    <x:col min="3" max="3" width="15" hidden="0" customWidth="1"/>
    <x:col min="4" max="4" width="8" hidden="0" customWidth="1"/>
    <x:col min="5" max="5" width="8" hidden="0" customWidth="1"/>
    <x:col min="6" max="6" width="14" hidden="0" customWidth="1"/>
    <x:col min="7" max="7" width="16" hidden="0" customWidth="1"/>
    <x:col min="8" max="8" width="68" hidden="0" customWidth="1"/>
    <x:col min="9" max="9" width="26" hidden="0" customWidth="1"/>
    <x:col min="10" max="10" width="20" hidden="0" customWidth="1"/>
    <x:col min="11" max="11" width="43" hidden="0" customWidth="1"/>
    <x:col min="12" max="12" width="43" hidden="0" customWidth="1"/>
    <x:col min="13" max="13" width="34" hidden="0" customWidth="1"/>
    <x:col min="14" max="14" width="20" hidden="0" customWidth="1"/>
    <x:col min="15" max="15" width="24" hidden="0" customWidth="1"/>
    <x:col min="16" max="16" width="16" hidden="0" customWidth="1"/>
    <x:col min="17" max="17" width="38" hidden="0" customWidth="1"/>
    <x:col min="18" max="18" width="19" hidden="0" customWidth="1"/>
    <x:col min="19" max="19" width="19" hidden="0" customWidth="1"/>
    <x:col min="20" max="20" width="30" hidden="0" customWidth="1"/>
    <x:col min="21" max="21" width="30" hidden="0" customWidth="1"/>
    <x:col min="22" max="22" width="22" hidden="0" customWidth="1"/>
  </x:cols>
  <x:sheetData>
    <x:row r="1" ht="28" customHeight="1">
      <x:c r="A1" s="1" t="str">
        <x:v>Atomic ELTS steps</x:v>
      </x:c>
    </x:row>
    <x:row r="2">
      <x:c r="A2" s="2" t="str">
        <x:v>243 ordered actions. PROJECT_STATE.json identifies the exact current atomic step using this sequence.</x:v>
      </x:c>
    </x:row>
    <x:row r="3">
      <x:c r="A3" s="3"/>
      <x:c r="B3" s="3"/>
      <x:c r="C3" s="3"/>
      <x:c r="D3" s="3"/>
      <x:c r="E3" s="3"/>
      <x:c r="F3" s="3"/>
      <x:c r="G3" s="3"/>
      <x:c r="H3" s="3"/>
      <x:c r="I3" s="3"/>
      <x:c r="J3" s="3"/>
      <x:c r="K3" s="3"/>
      <x:c r="L3" s="3"/>
      <x:c r="M3" s="3"/>
      <x:c r="N3" s="3"/>
      <x:c r="O3" s="3"/>
      <x:c r="P3" s="3"/>
      <x:c r="Q3" s="3"/>
      <x:c r="R3" s="3"/>
      <x:c r="S3" s="3"/>
      <x:c r="T3" s="3"/>
      <x:c r="U3" s="3"/>
      <x:c r="V3" s="3"/>
    </x:row>
    <x:row r="5" ht="32" customHeight="1">
      <x:c r="A5" s="31" t="str">
        <x:v>Sequence</x:v>
      </x:c>
      <x:c r="B5" s="31" t="str">
        <x:v>Atomic Step ID</x:v>
      </x:c>
      <x:c r="C5" s="31" t="str">
        <x:v>Parent Work Item</x:v>
      </x:c>
      <x:c r="D5" s="31" t="str">
        <x:v>Phase</x:v>
      </x:c>
      <x:c r="E5" s="31" t="str">
        <x:v>Gate</x:v>
      </x:c>
      <x:c r="F5" s="31" t="str">
        <x:v>Workstream</x:v>
      </x:c>
      <x:c r="G5" s="31" t="str">
        <x:v>Step Type</x:v>
      </x:c>
      <x:c r="H5" s="31" t="str">
        <x:v>Action</x:v>
      </x:c>
      <x:c r="I5" s="31" t="str">
        <x:v>Depends On</x:v>
      </x:c>
      <x:c r="J5" s="31" t="str">
        <x:v>Blocking Decisions</x:v>
      </x:c>
      <x:c r="K5" s="31" t="str">
        <x:v>Required Evidence</x:v>
      </x:c>
      <x:c r="L5" s="31" t="str">
        <x:v>Validation</x:v>
      </x:c>
      <x:c r="M5" s="31" t="str">
        <x:v>Expected Artifacts</x:v>
      </x:c>
      <x:c r="N5" s="31" t="str">
        <x:v>Status</x:v>
      </x:c>
      <x:c r="O5" s="31" t="str">
        <x:v>Owner</x:v>
      </x:c>
      <x:c r="P5" s="31" t="str">
        <x:v>Execution Class</x:v>
      </x:c>
      <x:c r="Q5" s="31" t="str">
        <x:v>Suggested Branch</x:v>
      </x:c>
      <x:c r="R5" s="31" t="str">
        <x:v>Started UTC</x:v>
      </x:c>
      <x:c r="S5" s="31" t="str">
        <x:v>Completed UTC</x:v>
      </x:c>
      <x:c r="T5" s="31" t="str">
        <x:v>Evidence Path or URL</x:v>
      </x:c>
      <x:c r="U5" s="31" t="str">
        <x:v>Notes</x:v>
      </x:c>
      <x:c r="V5" s="31" t="str">
        <x:v>Source</x:v>
      </x:c>
    </x:row>
    <x:row r="6">
      <x:c r="A6" s="10" t="n">
        <x:v>1</x:v>
      </x:c>
      <x:c r="B6" s="10" t="str">
        <x:v>P0.1.S001</x:v>
      </x:c>
      <x:c r="C6" s="10" t="str">
        <x:v>P0.1</x:v>
      </x:c>
      <x:c r="D6" s="10" t="str">
        <x:v>P0</x:v>
      </x:c>
      <x:c r="E6" s="10" t="str">
        <x:v>G0</x:v>
      </x:c>
      <x:c r="F6" s="10" t="str">
        <x:v>WS-A, WS-F</x:v>
      </x:c>
      <x:c r="G6" s="10" t="str">
        <x:v>verification</x:v>
      </x:c>
      <x:c r="H6" s="10" t="str">
        <x:v>Produce a single bill of materials with in-hand / ordered / needed status for every item in Appendix H. Order anything missing on day 1; lead times gate Phase 1. Items most likely to be missing: Base Station 2.0, 2× Vive Tracker 3.0, tracker pogo-pin breakout (or pogo pins for a DIY breakout), headband mount hardware, ¼-20 hardware, a laser bore-sighter for the daily accuracy check, a luminance or lux meter (D-11), the second operator monitor, mounting hardware for the base station.</x:v>
      </x:c>
      <x:c r="I6" s="10" t="str"/>
      <x:c r="J6" s="10" t="str">
        <x:v>D-11</x:v>
      </x:c>
      <x:c r="K6" s="10" t="str">
        <x:v>BOM exists, every item has a status, orders placed.</x:v>
      </x:c>
      <x:c r="L6" s="10" t="str">
        <x:v>BOM exists, every item has a status, orders placed.</x:v>
      </x:c>
      <x:c r="M6" s="10" t="str">
        <x:v>docs/procurement/BOM.md</x:v>
      </x:c>
      <x:c r="N6" s="10" t="str">
        <x:v>not_started</x:v>
      </x:c>
      <x:c r="O6" s="10" t="str">
        <x:v>Investigator and developer</x:v>
      </x:c>
      <x:c r="P6" s="10" t="str">
        <x:v>mixed</x:v>
      </x:c>
      <x:c r="Q6" s="10" t="str">
        <x:v>p0/P0.1-hardware-inventory-and-procurement</x:v>
      </x:c>
      <x:c r="R6" s="35" t="str"/>
      <x:c r="S6" s="35" t="str"/>
      <x:c r="T6" s="10" t="str"/>
      <x:c r="U6" s="10" t="str"/>
      <x:c r="V6" s="10" t="str">
        <x:v>ELTS Build Plan P0.1</x:v>
      </x:c>
    </x:row>
    <x:row r="7">
      <x:c r="A7" s="34" t="n">
        <x:v>2</x:v>
      </x:c>
      <x:c r="B7" s="34" t="str">
        <x:v>P0.1.V001</x:v>
      </x:c>
      <x:c r="C7" s="34" t="str">
        <x:v>P0.1</x:v>
      </x:c>
      <x:c r="D7" s="34" t="str">
        <x:v>P0</x:v>
      </x:c>
      <x:c r="E7" s="34" t="str">
        <x:v>G0</x:v>
      </x:c>
      <x:c r="F7" s="34" t="str">
        <x:v>WS-A, WS-F</x:v>
      </x:c>
      <x:c r="G7" s="34" t="str">
        <x:v>verification</x:v>
      </x:c>
      <x:c r="H7" s="34" t="str">
        <x:v>Verify P0.1 against its completion criteria and attach evidence.</x:v>
      </x:c>
      <x:c r="I7" s="34" t="str">
        <x:v>P0.1.S001</x:v>
      </x:c>
      <x:c r="J7" s="34" t="str">
        <x:v>D-11</x:v>
      </x:c>
      <x:c r="K7" s="34" t="str">
        <x:v>BOM exists, every item has a status, orders placed.</x:v>
      </x:c>
      <x:c r="L7" s="34" t="str">
        <x:v>BOM exists, every item has a status, orders placed.</x:v>
      </x:c>
      <x:c r="M7" s="34" t="str">
        <x:v>docs/procurement/BOM.md</x:v>
      </x:c>
      <x:c r="N7" s="34" t="str">
        <x:v>not_started</x:v>
      </x:c>
      <x:c r="O7" s="34" t="str">
        <x:v>Investigator and developer</x:v>
      </x:c>
      <x:c r="P7" s="34" t="str">
        <x:v>mixed</x:v>
      </x:c>
      <x:c r="Q7" s="34" t="str">
        <x:v>p0/P0.1-hardware-inventory-and-procurement</x:v>
      </x:c>
      <x:c r="R7" s="36" t="str"/>
      <x:c r="S7" s="36" t="str"/>
      <x:c r="T7" s="34" t="str"/>
      <x:c r="U7" s="34" t="str"/>
      <x:c r="V7" s="34" t="str">
        <x:v>ELTS Build Plan P0.1</x:v>
      </x:c>
    </x:row>
    <x:row r="8">
      <x:c r="A8" s="10" t="n">
        <x:v>3</x:v>
      </x:c>
      <x:c r="B8" s="10" t="str">
        <x:v>P0.2.S001</x:v>
      </x:c>
      <x:c r="C8" s="10" t="str">
        <x:v>P0.2</x:v>
      </x:c>
      <x:c r="D8" s="10" t="str">
        <x:v>P0</x:v>
      </x:c>
      <x:c r="E8" s="10" t="str">
        <x:v>G0</x:v>
      </x:c>
      <x:c r="F8" s="10" t="str">
        <x:v>WS-C, WS-F</x:v>
      </x:c>
      <x:c r="G8" s="10" t="str">
        <x:v>verification</x:v>
      </x:c>
      <x:c r="H8" s="10" t="str">
        <x:v>Confirm the PC meets A2. Install Steam and SteamVR. Confirm two video outputs work simultaneously with the display(s) that will be used (even a temporary display for now). Set Windows to a high-performance power plan; disable display sleep. Record GPU driver version.</x:v>
      </x:c>
      <x:c r="I8" s="10" t="str"/>
      <x:c r="J8" s="10" t="str"/>
      <x:c r="K8" s="10" t="str">
        <x:v>SteamVR launches; both outputs show a desktop.</x:v>
      </x:c>
      <x:c r="L8" s="10" t="str">
        <x:v>SteamVR launches; both outputs show a desktop.</x:v>
      </x:c>
      <x:c r="M8" s="10" t="str">
        <x:v>docs/environment/study-pc.md</x:v>
      </x:c>
      <x:c r="N8" s="10" t="str">
        <x:v>not_started</x:v>
      </x:c>
      <x:c r="O8" s="10" t="str">
        <x:v>Developer</x:v>
      </x:c>
      <x:c r="P8" s="10" t="str">
        <x:v>mixed</x:v>
      </x:c>
      <x:c r="Q8" s="10" t="str">
        <x:v>p0/P0.2-study-pc-readiness</x:v>
      </x:c>
      <x:c r="R8" s="35" t="str"/>
      <x:c r="S8" s="35" t="str"/>
      <x:c r="T8" s="10" t="str"/>
      <x:c r="U8" s="10" t="str"/>
      <x:c r="V8" s="10" t="str">
        <x:v>ELTS Build Plan P0.2</x:v>
      </x:c>
    </x:row>
    <x:row r="9">
      <x:c r="A9" s="34" t="n">
        <x:v>4</x:v>
      </x:c>
      <x:c r="B9" s="34" t="str">
        <x:v>P0.2.V001</x:v>
      </x:c>
      <x:c r="C9" s="34" t="str">
        <x:v>P0.2</x:v>
      </x:c>
      <x:c r="D9" s="34" t="str">
        <x:v>P0</x:v>
      </x:c>
      <x:c r="E9" s="34" t="str">
        <x:v>G0</x:v>
      </x:c>
      <x:c r="F9" s="34" t="str">
        <x:v>WS-C, WS-F</x:v>
      </x:c>
      <x:c r="G9" s="34" t="str">
        <x:v>verification</x:v>
      </x:c>
      <x:c r="H9" s="34" t="str">
        <x:v>Verify P0.2 against its completion criteria and attach evidence.</x:v>
      </x:c>
      <x:c r="I9" s="34" t="str">
        <x:v>P0.2.S001</x:v>
      </x:c>
      <x:c r="J9" s="34" t="str"/>
      <x:c r="K9" s="34" t="str">
        <x:v>SteamVR launches; both outputs show a desktop.</x:v>
      </x:c>
      <x:c r="L9" s="34" t="str">
        <x:v>SteamVR launches; both outputs show a desktop.</x:v>
      </x:c>
      <x:c r="M9" s="34" t="str">
        <x:v>docs/environment/study-pc.md</x:v>
      </x:c>
      <x:c r="N9" s="34" t="str">
        <x:v>not_started</x:v>
      </x:c>
      <x:c r="O9" s="34" t="str">
        <x:v>Developer</x:v>
      </x:c>
      <x:c r="P9" s="34" t="str">
        <x:v>mixed</x:v>
      </x:c>
      <x:c r="Q9" s="34" t="str">
        <x:v>p0/P0.2-study-pc-readiness</x:v>
      </x:c>
      <x:c r="R9" s="36" t="str"/>
      <x:c r="S9" s="36" t="str"/>
      <x:c r="T9" s="34" t="str"/>
      <x:c r="U9" s="34" t="str"/>
      <x:c r="V9" s="34" t="str">
        <x:v>ELTS Build Plan P0.2</x:v>
      </x:c>
    </x:row>
    <x:row r="10">
      <x:c r="A10" s="10" t="n">
        <x:v>5</x:v>
      </x:c>
      <x:c r="B10" s="10" t="str">
        <x:v>P0.3.S001</x:v>
      </x:c>
      <x:c r="C10" s="10" t="str">
        <x:v>P0.3</x:v>
      </x:c>
      <x:c r="D10" s="10" t="str">
        <x:v>P0</x:v>
      </x:c>
      <x:c r="E10" s="10" t="str">
        <x:v>G0</x:v>
      </x:c>
      <x:c r="F10" s="10" t="str">
        <x:v>WS-C</x:v>
      </x:c>
      <x:c r="G10" s="10" t="str">
        <x:v>execution</x:v>
      </x:c>
      <x:c r="H10" s="10" t="str">
        <x:v>Inventory the repository, remote, default branch, files, and existing uncommitted work without modifying anything.</x:v>
      </x:c>
      <x:c r="I10" s="10" t="str"/>
      <x:c r="J10" s="10" t="str"/>
      <x:c r="K10" s="10" t="str">
        <x:v>Repository inventory recorded; existing work preserved.</x:v>
      </x:c>
      <x:c r="L10" s="10" t="str">
        <x:v>Repository inventory recorded; existing work preserved.</x:v>
      </x:c>
      <x:c r="M10" s="10" t="str">
        <x:v>repository skeleton and clean-clone evidence</x:v>
      </x:c>
      <x:c r="N10" s="10" t="str">
        <x:v>ready</x:v>
      </x:c>
      <x:c r="O10" s="10" t="str">
        <x:v>Initial coding agent</x:v>
      </x:c>
      <x:c r="P10" s="10" t="str">
        <x:v>agent</x:v>
      </x:c>
      <x:c r="Q10" s="10" t="str">
        <x:v>bootstrap/repository-governance</x:v>
      </x:c>
      <x:c r="R10" s="35" t="str"/>
      <x:c r="S10" s="35" t="str"/>
      <x:c r="T10" s="10" t="str"/>
      <x:c r="U10" s="10" t="str"/>
      <x:c r="V10" s="10" t="str">
        <x:v>ELTS Build Plan P0.3</x:v>
      </x:c>
    </x:row>
    <x:row r="11">
      <x:c r="A11" s="34" t="n">
        <x:v>6</x:v>
      </x:c>
      <x:c r="B11" s="34" t="str">
        <x:v>P0.3.S002</x:v>
      </x:c>
      <x:c r="C11" s="34" t="str">
        <x:v>P0.3</x:v>
      </x:c>
      <x:c r="D11" s="34" t="str">
        <x:v>P0</x:v>
      </x:c>
      <x:c r="E11" s="34" t="str">
        <x:v>G0</x:v>
      </x:c>
      <x:c r="F11" s="34" t="str">
        <x:v>WS-C</x:v>
      </x:c>
      <x:c r="G11" s="34" t="str">
        <x:v>implementation</x:v>
      </x:c>
      <x:c r="H11" s="34" t="str">
        <x:v>Create the progress-state schemas, initial append-only progress event, reducer entry point, and generated PROJECT_STATE.json before other architecture changes.</x:v>
      </x:c>
      <x:c r="I11" s="34" t="str">
        <x:v>P0.3.S001</x:v>
      </x:c>
      <x:c r="J11" s="34" t="str"/>
      <x:c r="K11" s="34" t="str">
        <x:v>Schemas validate and PROJECT_STATE.json names the exact current task.</x:v>
      </x:c>
      <x:c r="L11" s="34" t="str">
        <x:v>Schemas validate and PROJECT_STATE.json names the exact current task.</x:v>
      </x:c>
      <x:c r="M11" s="34" t="str">
        <x:v>repository skeleton and clean-clone evidence</x:v>
      </x:c>
      <x:c r="N11" s="34" t="str">
        <x:v>not_started</x:v>
      </x:c>
      <x:c r="O11" s="34" t="str">
        <x:v>Initial coding agent</x:v>
      </x:c>
      <x:c r="P11" s="34" t="str">
        <x:v>agent</x:v>
      </x:c>
      <x:c r="Q11" s="34" t="str">
        <x:v>bootstrap/repository-governance</x:v>
      </x:c>
      <x:c r="R11" s="36" t="str"/>
      <x:c r="S11" s="36" t="str"/>
      <x:c r="T11" s="34" t="str"/>
      <x:c r="U11" s="34" t="str"/>
      <x:c r="V11" s="34" t="str">
        <x:v>ELTS Build Plan P0.3</x:v>
      </x:c>
    </x:row>
    <x:row r="12">
      <x:c r="A12" s="10" t="n">
        <x:v>7</x:v>
      </x:c>
      <x:c r="B12" s="10" t="str">
        <x:v>P0.3.S003</x:v>
      </x:c>
      <x:c r="C12" s="10" t="str">
        <x:v>P0.3</x:v>
      </x:c>
      <x:c r="D12" s="10" t="str">
        <x:v>P0</x:v>
      </x:c>
      <x:c r="E12" s="10" t="str">
        <x:v>G0</x:v>
      </x:c>
      <x:c r="F12" s="10" t="str">
        <x:v>WS-C</x:v>
      </x:c>
      <x:c r="G12" s="10" t="str">
        <x:v>execution</x:v>
      </x:c>
      <x:c r="H12" s="10" t="str">
        <x:v>Preserve unchanged copies of this workbook and the architecture specification under project-management/baseline/.</x:v>
      </x:c>
      <x:c r="I12" s="10" t="str">
        <x:v>P0.3.S002</x:v>
      </x:c>
      <x:c r="J12" s="10" t="str"/>
      <x:c r="K12" s="10" t="str">
        <x:v>Both baseline files exist with original filenames.</x:v>
      </x:c>
      <x:c r="L12" s="10" t="str">
        <x:v>Both baseline files exist with original filenames.</x:v>
      </x:c>
      <x:c r="M12" s="10" t="str">
        <x:v>repository skeleton and clean-clone evidence</x:v>
      </x:c>
      <x:c r="N12" s="10" t="str">
        <x:v>not_started</x:v>
      </x:c>
      <x:c r="O12" s="10" t="str">
        <x:v>Initial coding agent</x:v>
      </x:c>
      <x:c r="P12" s="10" t="str">
        <x:v>agent</x:v>
      </x:c>
      <x:c r="Q12" s="10" t="str">
        <x:v>bootstrap/repository-governance</x:v>
      </x:c>
      <x:c r="R12" s="35" t="str"/>
      <x:c r="S12" s="35" t="str"/>
      <x:c r="T12" s="10" t="str"/>
      <x:c r="U12" s="10" t="str"/>
      <x:c r="V12" s="10" t="str">
        <x:v>ELTS Build Plan P0.3</x:v>
      </x:c>
    </x:row>
    <x:row r="13">
      <x:c r="A13" s="34" t="n">
        <x:v>8</x:v>
      </x:c>
      <x:c r="B13" s="34" t="str">
        <x:v>P0.3.S004</x:v>
      </x:c>
      <x:c r="C13" s="34" t="str">
        <x:v>P0.3</x:v>
      </x:c>
      <x:c r="D13" s="34" t="str">
        <x:v>P0</x:v>
      </x:c>
      <x:c r="E13" s="34" t="str">
        <x:v>G0</x:v>
      </x:c>
      <x:c r="F13" s="34" t="str">
        <x:v>WS-C</x:v>
      </x:c>
      <x:c r="G13" s="34" t="str">
        <x:v>documentation</x:v>
      </x:c>
      <x:c r="H13" s="34" t="str">
        <x:v>Compute SHA-256 hashes for both baseline files and record them in the task catalog and generated state.</x:v>
      </x:c>
      <x:c r="I13" s="34" t="str">
        <x:v>P0.3.S003</x:v>
      </x:c>
      <x:c r="J13" s="34" t="str"/>
      <x:c r="K13" s="34" t="str">
        <x:v>Hashes match the preserved files.</x:v>
      </x:c>
      <x:c r="L13" s="34" t="str">
        <x:v>Hashes match the preserved files.</x:v>
      </x:c>
      <x:c r="M13" s="34" t="str">
        <x:v>repository skeleton and clean-clone evidence</x:v>
      </x:c>
      <x:c r="N13" s="34" t="str">
        <x:v>not_started</x:v>
      </x:c>
      <x:c r="O13" s="34" t="str">
        <x:v>Initial coding agent</x:v>
      </x:c>
      <x:c r="P13" s="34" t="str">
        <x:v>agent</x:v>
      </x:c>
      <x:c r="Q13" s="34" t="str">
        <x:v>bootstrap/repository-governance</x:v>
      </x:c>
      <x:c r="R13" s="36" t="str"/>
      <x:c r="S13" s="36" t="str"/>
      <x:c r="T13" s="34" t="str"/>
      <x:c r="U13" s="34" t="str"/>
      <x:c r="V13" s="34" t="str">
        <x:v>ELTS Build Plan P0.3</x:v>
      </x:c>
    </x:row>
    <x:row r="14">
      <x:c r="A14" s="10" t="n">
        <x:v>9</x:v>
      </x:c>
      <x:c r="B14" s="10" t="str">
        <x:v>P0.3.S005</x:v>
      </x:c>
      <x:c r="C14" s="10" t="str">
        <x:v>P0.3</x:v>
      </x:c>
      <x:c r="D14" s="10" t="str">
        <x:v>P0</x:v>
      </x:c>
      <x:c r="E14" s="10" t="str">
        <x:v>G0</x:v>
      </x:c>
      <x:c r="F14" s="10" t="str">
        <x:v>WS-C</x:v>
      </x:c>
      <x:c r="G14" s="10" t="str">
        <x:v>execution</x:v>
      </x:c>
      <x:c r="H14" s="10" t="str">
        <x:v>Export the workbook registries to diffable machine-readable files for work items, atomic steps, decisions, gate criteria, requirements, artifacts, and risks.</x:v>
      </x:c>
      <x:c r="I14" s="10" t="str">
        <x:v>P0.3.S004</x:v>
      </x:c>
      <x:c r="J14" s="10" t="str"/>
      <x:c r="K14" s="10" t="str">
        <x:v>Exports validate and retain every stable ID.</x:v>
      </x:c>
      <x:c r="L14" s="10" t="str">
        <x:v>Exports validate and retain every stable ID.</x:v>
      </x:c>
      <x:c r="M14" s="10" t="str">
        <x:v>repository skeleton and clean-clone evidence</x:v>
      </x:c>
      <x:c r="N14" s="10" t="str">
        <x:v>not_started</x:v>
      </x:c>
      <x:c r="O14" s="10" t="str">
        <x:v>Initial coding agent</x:v>
      </x:c>
      <x:c r="P14" s="10" t="str">
        <x:v>agent</x:v>
      </x:c>
      <x:c r="Q14" s="10" t="str">
        <x:v>bootstrap/repository-governance</x:v>
      </x:c>
      <x:c r="R14" s="35" t="str"/>
      <x:c r="S14" s="35" t="str"/>
      <x:c r="T14" s="10" t="str"/>
      <x:c r="U14" s="10" t="str"/>
      <x:c r="V14" s="10" t="str">
        <x:v>ELTS Build Plan P0.3</x:v>
      </x:c>
    </x:row>
    <x:row r="15">
      <x:c r="A15" s="34" t="n">
        <x:v>10</x:v>
      </x:c>
      <x:c r="B15" s="34" t="str">
        <x:v>P0.3.S006</x:v>
      </x:c>
      <x:c r="C15" s="34" t="str">
        <x:v>P0.3</x:v>
      </x:c>
      <x:c r="D15" s="34" t="str">
        <x:v>P0</x:v>
      </x:c>
      <x:c r="E15" s="34" t="str">
        <x:v>G0</x:v>
      </x:c>
      <x:c r="F15" s="34" t="str">
        <x:v>WS-C</x:v>
      </x:c>
      <x:c r="G15" s="34" t="str">
        <x:v>implementation</x:v>
      </x:c>
      <x:c r="H15" s="34" t="str">
        <x:v>Create the canonical monorepo directory skeleton without deleting or relocating existing user work.</x:v>
      </x:c>
      <x:c r="I15" s="34" t="str">
        <x:v>P0.3.S005</x:v>
      </x:c>
      <x:c r="J15" s="34" t="str"/>
      <x:c r="K15" s="34" t="str">
        <x:v>Repository layout matches the approved specification or deviations have an ADR.</x:v>
      </x:c>
      <x:c r="L15" s="34" t="str">
        <x:v>Repository layout matches the approved specification or deviations have an ADR.</x:v>
      </x:c>
      <x:c r="M15" s="34" t="str">
        <x:v>repository skeleton and clean-clone evidence</x:v>
      </x:c>
      <x:c r="N15" s="34" t="str">
        <x:v>not_started</x:v>
      </x:c>
      <x:c r="O15" s="34" t="str">
        <x:v>Initial coding agent</x:v>
      </x:c>
      <x:c r="P15" s="34" t="str">
        <x:v>agent</x:v>
      </x:c>
      <x:c r="Q15" s="34" t="str">
        <x:v>bootstrap/repository-governance</x:v>
      </x:c>
      <x:c r="R15" s="36" t="str"/>
      <x:c r="S15" s="36" t="str"/>
      <x:c r="T15" s="34" t="str"/>
      <x:c r="U15" s="34" t="str"/>
      <x:c r="V15" s="34" t="str">
        <x:v>ELTS Build Plan P0.3</x:v>
      </x:c>
    </x:row>
    <x:row r="16">
      <x:c r="A16" s="10" t="n">
        <x:v>11</x:v>
      </x:c>
      <x:c r="B16" s="10" t="str">
        <x:v>P0.3.S007</x:v>
      </x:c>
      <x:c r="C16" s="10" t="str">
        <x:v>P0.3</x:v>
      </x:c>
      <x:c r="D16" s="10" t="str">
        <x:v>P0</x:v>
      </x:c>
      <x:c r="E16" s="10" t="str">
        <x:v>G0</x:v>
      </x:c>
      <x:c r="F16" s="10" t="str">
        <x:v>WS-C</x:v>
      </x:c>
      <x:c r="G16" s="10" t="str">
        <x:v>documentation</x:v>
      </x:c>
      <x:c r="H16" s="10" t="str">
        <x:v>Create the root README with project purpose, safe entry points, quick start, repository map, and links to canonical documents.</x:v>
      </x:c>
      <x:c r="I16" s="10" t="str">
        <x:v>P0.3.S006</x:v>
      </x:c>
      <x:c r="J16" s="10" t="str"/>
      <x:c r="K16" s="10" t="str">
        <x:v>A new contributor can find setup, state, tests, and architecture from README.</x:v>
      </x:c>
      <x:c r="L16" s="10" t="str">
        <x:v>A new contributor can find setup, state, tests, and architecture from README.</x:v>
      </x:c>
      <x:c r="M16" s="10" t="str">
        <x:v>repository skeleton and clean-clone evidence</x:v>
      </x:c>
      <x:c r="N16" s="10" t="str">
        <x:v>not_started</x:v>
      </x:c>
      <x:c r="O16" s="10" t="str">
        <x:v>Initial coding agent</x:v>
      </x:c>
      <x:c r="P16" s="10" t="str">
        <x:v>agent</x:v>
      </x:c>
      <x:c r="Q16" s="10" t="str">
        <x:v>bootstrap/repository-governance</x:v>
      </x:c>
      <x:c r="R16" s="35" t="str"/>
      <x:c r="S16" s="35" t="str"/>
      <x:c r="T16" s="10" t="str"/>
      <x:c r="U16" s="10" t="str"/>
      <x:c r="V16" s="10" t="str">
        <x:v>ELTS Build Plan P0.3</x:v>
      </x:c>
    </x:row>
    <x:row r="17">
      <x:c r="A17" s="34" t="n">
        <x:v>12</x:v>
      </x:c>
      <x:c r="B17" s="34" t="str">
        <x:v>P0.3.S008</x:v>
      </x:c>
      <x:c r="C17" s="34" t="str">
        <x:v>P0.3</x:v>
      </x:c>
      <x:c r="D17" s="34" t="str">
        <x:v>P0</x:v>
      </x:c>
      <x:c r="E17" s="34" t="str">
        <x:v>G0</x:v>
      </x:c>
      <x:c r="F17" s="34" t="str">
        <x:v>WS-C</x:v>
      </x:c>
      <x:c r="G17" s="34" t="str">
        <x:v>implementation</x:v>
      </x:c>
      <x:c r="H17" s="34" t="str">
        <x:v>Create root AGENTS.md as the canonical model-agnostic instruction entry point.</x:v>
      </x:c>
      <x:c r="I17" s="34" t="str">
        <x:v>P0.3.S007</x:v>
      </x:c>
      <x:c r="J17" s="34" t="str"/>
      <x:c r="K17" s="34" t="str">
        <x:v>AGENTS.md points to the instruction chain and progress state.</x:v>
      </x:c>
      <x:c r="L17" s="34" t="str">
        <x:v>AGENTS.md points to the instruction chain and progress state.</x:v>
      </x:c>
      <x:c r="M17" s="34" t="str">
        <x:v>repository skeleton and clean-clone evidence</x:v>
      </x:c>
      <x:c r="N17" s="34" t="str">
        <x:v>not_started</x:v>
      </x:c>
      <x:c r="O17" s="34" t="str">
        <x:v>Initial coding agent</x:v>
      </x:c>
      <x:c r="P17" s="34" t="str">
        <x:v>agent</x:v>
      </x:c>
      <x:c r="Q17" s="34" t="str">
        <x:v>bootstrap/repository-governance</x:v>
      </x:c>
      <x:c r="R17" s="36" t="str"/>
      <x:c r="S17" s="36" t="str"/>
      <x:c r="T17" s="34" t="str"/>
      <x:c r="U17" s="34" t="str"/>
      <x:c r="V17" s="34" t="str">
        <x:v>ELTS Build Plan P0.3</x:v>
      </x:c>
    </x:row>
    <x:row r="18">
      <x:c r="A18" s="10" t="n">
        <x:v>13</x:v>
      </x:c>
      <x:c r="B18" s="10" t="str">
        <x:v>P0.3.S009</x:v>
      </x:c>
      <x:c r="C18" s="10" t="str">
        <x:v>P0.3</x:v>
      </x:c>
      <x:c r="D18" s="10" t="str">
        <x:v>P0</x:v>
      </x:c>
      <x:c r="E18" s="10" t="str">
        <x:v>G0</x:v>
      </x:c>
      <x:c r="F18" s="10" t="str">
        <x:v>WS-C</x:v>
      </x:c>
      <x:c r="G18" s="10" t="str">
        <x:v>implementation</x:v>
      </x:c>
      <x:c r="H18" s="10" t="str">
        <x:v>Create CLAUDE.md, .github/copilot-instructions.md, and future model adapters as thin pointers rather than duplicated policy.</x:v>
      </x:c>
      <x:c r="I18" s="10" t="str">
        <x:v>P0.3.S008</x:v>
      </x:c>
      <x:c r="J18" s="10" t="str"/>
      <x:c r="K18" s="10" t="str">
        <x:v>Adapters contain no conflicting rules.</x:v>
      </x:c>
      <x:c r="L18" s="10" t="str">
        <x:v>Adapters contain no conflicting rules.</x:v>
      </x:c>
      <x:c r="M18" s="10" t="str">
        <x:v>repository skeleton and clean-clone evidence</x:v>
      </x:c>
      <x:c r="N18" s="10" t="str">
        <x:v>not_started</x:v>
      </x:c>
      <x:c r="O18" s="10" t="str">
        <x:v>Initial coding agent</x:v>
      </x:c>
      <x:c r="P18" s="10" t="str">
        <x:v>agent</x:v>
      </x:c>
      <x:c r="Q18" s="10" t="str">
        <x:v>bootstrap/repository-governance</x:v>
      </x:c>
      <x:c r="R18" s="35" t="str"/>
      <x:c r="S18" s="35" t="str"/>
      <x:c r="T18" s="10" t="str"/>
      <x:c r="U18" s="10" t="str"/>
      <x:c r="V18" s="10" t="str">
        <x:v>ELTS Build Plan P0.3</x:v>
      </x:c>
    </x:row>
    <x:row r="19">
      <x:c r="A19" s="34" t="n">
        <x:v>14</x:v>
      </x:c>
      <x:c r="B19" s="34" t="str">
        <x:v>P0.3.S010</x:v>
      </x:c>
      <x:c r="C19" s="34" t="str">
        <x:v>P0.3</x:v>
      </x:c>
      <x:c r="D19" s="34" t="str">
        <x:v>P0</x:v>
      </x:c>
      <x:c r="E19" s="34" t="str">
        <x:v>G0</x:v>
      </x:c>
      <x:c r="F19" s="34" t="str">
        <x:v>WS-C</x:v>
      </x:c>
      <x:c r="G19" s="34" t="str">
        <x:v>verification</x:v>
      </x:c>
      <x:c r="H19" s="34" t="str">
        <x:v>Create docs/ai/START-HERE.md, CHANGE-PROTOCOL.md, REVIEW-CHECKLIST.md, CONTEXT-INDEX.md, and a handoff template.</x:v>
      </x:c>
      <x:c r="I19" s="34" t="str">
        <x:v>P0.3.S009</x:v>
      </x:c>
      <x:c r="J19" s="34" t="str"/>
      <x:c r="K19" s="34" t="str">
        <x:v>Instruction chain is complete and link-checked.</x:v>
      </x:c>
      <x:c r="L19" s="34" t="str">
        <x:v>Instruction chain is complete and link-checked.</x:v>
      </x:c>
      <x:c r="M19" s="34" t="str">
        <x:v>repository skeleton and clean-clone evidence</x:v>
      </x:c>
      <x:c r="N19" s="34" t="str">
        <x:v>not_started</x:v>
      </x:c>
      <x:c r="O19" s="34" t="str">
        <x:v>Initial coding agent</x:v>
      </x:c>
      <x:c r="P19" s="34" t="str">
        <x:v>agent</x:v>
      </x:c>
      <x:c r="Q19" s="34" t="str">
        <x:v>bootstrap/repository-governance</x:v>
      </x:c>
      <x:c r="R19" s="36" t="str"/>
      <x:c r="S19" s="36" t="str"/>
      <x:c r="T19" s="34" t="str"/>
      <x:c r="U19" s="34" t="str"/>
      <x:c r="V19" s="34" t="str">
        <x:v>ELTS Build Plan P0.3</x:v>
      </x:c>
    </x:row>
    <x:row r="20">
      <x:c r="A20" s="10" t="n">
        <x:v>15</x:v>
      </x:c>
      <x:c r="B20" s="10" t="str">
        <x:v>P0.3.S011</x:v>
      </x:c>
      <x:c r="C20" s="10" t="str">
        <x:v>P0.3</x:v>
      </x:c>
      <x:c r="D20" s="10" t="str">
        <x:v>P0</x:v>
      </x:c>
      <x:c r="E20" s="10" t="str">
        <x:v>G0</x:v>
      </x:c>
      <x:c r="F20" s="10" t="str">
        <x:v>WS-C</x:v>
      </x:c>
      <x:c r="G20" s="10" t="str">
        <x:v>verification</x:v>
      </x:c>
      <x:c r="H20" s="10" t="str">
        <x:v>Create docs/INVARIANTS.md, ARCHITECTURE.md, PORTABILITY.md, DEVELOPMENT.md, GIT-WORKFLOW.md, TESTING.md, RELEASES.md, REPRODUCIBILITY.md, DATA-GOVERNANCE.md, SECURITY.md, and GLOSSARY.md.</x:v>
      </x:c>
      <x:c r="I20" s="10" t="str">
        <x:v>P0.3.S010</x:v>
      </x:c>
      <x:c r="J20" s="10" t="str"/>
      <x:c r="K20" s="10" t="str">
        <x:v>Each canonical document exists with ownership and update triggers.</x:v>
      </x:c>
      <x:c r="L20" s="10" t="str">
        <x:v>Each canonical document exists with ownership and update triggers.</x:v>
      </x:c>
      <x:c r="M20" s="10" t="str">
        <x:v>repository skeleton and clean-clone evidence</x:v>
      </x:c>
      <x:c r="N20" s="10" t="str">
        <x:v>not_started</x:v>
      </x:c>
      <x:c r="O20" s="10" t="str">
        <x:v>Initial coding agent</x:v>
      </x:c>
      <x:c r="P20" s="10" t="str">
        <x:v>agent</x:v>
      </x:c>
      <x:c r="Q20" s="10" t="str">
        <x:v>bootstrap/repository-governance</x:v>
      </x:c>
      <x:c r="R20" s="35" t="str"/>
      <x:c r="S20" s="35" t="str"/>
      <x:c r="T20" s="10" t="str"/>
      <x:c r="U20" s="10" t="str"/>
      <x:c r="V20" s="10" t="str">
        <x:v>ELTS Build Plan P0.3</x:v>
      </x:c>
    </x:row>
    <x:row r="21">
      <x:c r="A21" s="34" t="n">
        <x:v>16</x:v>
      </x:c>
      <x:c r="B21" s="34" t="str">
        <x:v>P0.3.S012</x:v>
      </x:c>
      <x:c r="C21" s="34" t="str">
        <x:v>P0.3</x:v>
      </x:c>
      <x:c r="D21" s="34" t="str">
        <x:v>P0</x:v>
      </x:c>
      <x:c r="E21" s="34" t="str">
        <x:v>G0</x:v>
      </x:c>
      <x:c r="F21" s="34" t="str">
        <x:v>WS-C</x:v>
      </x:c>
      <x:c r="G21" s="34" t="str">
        <x:v>implementation</x:v>
      </x:c>
      <x:c r="H21" s="34" t="str">
        <x:v>Create .gitignore rules for Unity-generated directories, builds, local configuration, secrets, participant calibration, research data, logs, and temporary files.</x:v>
      </x:c>
      <x:c r="I21" s="34" t="str">
        <x:v>P0.3.S011</x:v>
      </x:c>
      <x:c r="J21" s="34" t="str"/>
      <x:c r="K21" s="34" t="str">
        <x:v>Policy scan proves prohibited paths are ignored; synthetic fixtures remain allowed.</x:v>
      </x:c>
      <x:c r="L21" s="34" t="str">
        <x:v>Policy scan proves prohibited paths are ignored; synthetic fixtures remain allowed.</x:v>
      </x:c>
      <x:c r="M21" s="34" t="str">
        <x:v>repository skeleton and clean-clone evidence</x:v>
      </x:c>
      <x:c r="N21" s="34" t="str">
        <x:v>not_started</x:v>
      </x:c>
      <x:c r="O21" s="34" t="str">
        <x:v>Initial coding agent</x:v>
      </x:c>
      <x:c r="P21" s="34" t="str">
        <x:v>agent</x:v>
      </x:c>
      <x:c r="Q21" s="34" t="str">
        <x:v>bootstrap/repository-governance</x:v>
      </x:c>
      <x:c r="R21" s="36" t="str"/>
      <x:c r="S21" s="36" t="str"/>
      <x:c r="T21" s="34" t="str"/>
      <x:c r="U21" s="34" t="str"/>
      <x:c r="V21" s="34" t="str">
        <x:v>ELTS Build Plan P0.3</x:v>
      </x:c>
    </x:row>
    <x:row r="22">
      <x:c r="A22" s="10" t="n">
        <x:v>17</x:v>
      </x:c>
      <x:c r="B22" s="10" t="str">
        <x:v>P0.3.S013</x:v>
      </x:c>
      <x:c r="C22" s="10" t="str">
        <x:v>P0.3</x:v>
      </x:c>
      <x:c r="D22" s="10" t="str">
        <x:v>P0</x:v>
      </x:c>
      <x:c r="E22" s="10" t="str">
        <x:v>G0</x:v>
      </x:c>
      <x:c r="F22" s="10" t="str">
        <x:v>WS-C</x:v>
      </x:c>
      <x:c r="G22" s="10" t="str">
        <x:v>documentation</x:v>
      </x:c>
      <x:c r="H22" s="10" t="str">
        <x:v>Create .gitattributes and a documented Git LFS policy, plus .editorconfig for portable line endings and formatting.</x:v>
      </x:c>
      <x:c r="I22" s="10" t="str">
        <x:v>P0.3.S012</x:v>
      </x:c>
      <x:c r="J22" s="10" t="str"/>
      <x:c r="K22" s="10" t="str">
        <x:v>Line-ending and binary handling are deterministic and documented.</x:v>
      </x:c>
      <x:c r="L22" s="10" t="str">
        <x:v>Line-ending and binary handling are deterministic and documented.</x:v>
      </x:c>
      <x:c r="M22" s="10" t="str">
        <x:v>repository skeleton and clean-clone evidence</x:v>
      </x:c>
      <x:c r="N22" s="10" t="str">
        <x:v>not_started</x:v>
      </x:c>
      <x:c r="O22" s="10" t="str">
        <x:v>Initial coding agent</x:v>
      </x:c>
      <x:c r="P22" s="10" t="str">
        <x:v>agent</x:v>
      </x:c>
      <x:c r="Q22" s="10" t="str">
        <x:v>bootstrap/repository-governance</x:v>
      </x:c>
      <x:c r="R22" s="35" t="str"/>
      <x:c r="S22" s="35" t="str"/>
      <x:c r="T22" s="10" t="str"/>
      <x:c r="U22" s="10" t="str"/>
      <x:c r="V22" s="10" t="str">
        <x:v>ELTS Build Plan P0.3</x:v>
      </x:c>
    </x:row>
    <x:row r="23">
      <x:c r="A23" s="34" t="n">
        <x:v>18</x:v>
      </x:c>
      <x:c r="B23" s="34" t="str">
        <x:v>P0.3.S014</x:v>
      </x:c>
      <x:c r="C23" s="34" t="str">
        <x:v>P0.3</x:v>
      </x:c>
      <x:c r="D23" s="34" t="str">
        <x:v>P0</x:v>
      </x:c>
      <x:c r="E23" s="34" t="str">
        <x:v>G0</x:v>
      </x:c>
      <x:c r="F23" s="34" t="str">
        <x:v>WS-C</x:v>
      </x:c>
      <x:c r="G23" s="34" t="str">
        <x:v>documentation</x:v>
      </x:c>
      <x:c r="H23" s="34" t="str">
        <x:v>Create versioned JSON Schemas for configuration, logs, ELTS protocol, task catalog, progress events, progress state, and diagnostic reports.</x:v>
      </x:c>
      <x:c r="I23" s="34" t="str">
        <x:v>P0.3.S013</x:v>
      </x:c>
      <x:c r="J23" s="34" t="str"/>
      <x:c r="K23" s="34" t="str">
        <x:v>Schema validation passes on all examples.</x:v>
      </x:c>
      <x:c r="L23" s="34" t="str">
        <x:v>Schema validation passes on all examples.</x:v>
      </x:c>
      <x:c r="M23" s="34" t="str">
        <x:v>repository skeleton and clean-clone evidence</x:v>
      </x:c>
      <x:c r="N23" s="34" t="str">
        <x:v>not_started</x:v>
      </x:c>
      <x:c r="O23" s="34" t="str">
        <x:v>Initial coding agent</x:v>
      </x:c>
      <x:c r="P23" s="34" t="str">
        <x:v>agent</x:v>
      </x:c>
      <x:c r="Q23" s="34" t="str">
        <x:v>bootstrap/repository-governance</x:v>
      </x:c>
      <x:c r="R23" s="36" t="str"/>
      <x:c r="S23" s="36" t="str"/>
      <x:c r="T23" s="34" t="str"/>
      <x:c r="U23" s="34" t="str"/>
      <x:c r="V23" s="34" t="str">
        <x:v>ELTS Build Plan P0.3</x:v>
      </x:c>
    </x:row>
    <x:row r="24">
      <x:c r="A24" s="10" t="n">
        <x:v>19</x:v>
      </x:c>
      <x:c r="B24" s="10" t="str">
        <x:v>P0.3.S015</x:v>
      </x:c>
      <x:c r="C24" s="10" t="str">
        <x:v>P0.3</x:v>
      </x:c>
      <x:c r="D24" s="10" t="str">
        <x:v>P0</x:v>
      </x:c>
      <x:c r="E24" s="10" t="str">
        <x:v>G0</x:v>
      </x:c>
      <x:c r="F24" s="10" t="str">
        <x:v>WS-C</x:v>
      </x:c>
      <x:c r="G24" s="10" t="str">
        <x:v>verification</x:v>
      </x:c>
      <x:c r="H24" s="10" t="str">
        <x:v>Create portable entry scripts for developer bootstrap, doctor, verification, tests, build, packaging, and study-machine first run, with variables centralized at the top or in configuration.</x:v>
      </x:c>
      <x:c r="I24" s="10" t="str">
        <x:v>P0.3.S014</x:v>
      </x:c>
      <x:c r="J24" s="10" t="str"/>
      <x:c r="K24" s="10" t="str">
        <x:v>Entry scripts support paths with spaces and emit precise failures.</x:v>
      </x:c>
      <x:c r="L24" s="10" t="str">
        <x:v>Entry scripts support paths with spaces and emit precise failures.</x:v>
      </x:c>
      <x:c r="M24" s="10" t="str">
        <x:v>repository skeleton and clean-clone evidence</x:v>
      </x:c>
      <x:c r="N24" s="10" t="str">
        <x:v>not_started</x:v>
      </x:c>
      <x:c r="O24" s="10" t="str">
        <x:v>Initial coding agent</x:v>
      </x:c>
      <x:c r="P24" s="10" t="str">
        <x:v>agent</x:v>
      </x:c>
      <x:c r="Q24" s="10" t="str">
        <x:v>bootstrap/repository-governance</x:v>
      </x:c>
      <x:c r="R24" s="35" t="str"/>
      <x:c r="S24" s="35" t="str"/>
      <x:c r="T24" s="10" t="str"/>
      <x:c r="U24" s="10" t="str"/>
      <x:c r="V24" s="10" t="str">
        <x:v>ELTS Build Plan P0.3</x:v>
      </x:c>
    </x:row>
    <x:row r="25">
      <x:c r="A25" s="34" t="n">
        <x:v>20</x:v>
      </x:c>
      <x:c r="B25" s="34" t="str">
        <x:v>P0.3.S016</x:v>
      </x:c>
      <x:c r="C25" s="34" t="str">
        <x:v>P0.3</x:v>
      </x:c>
      <x:c r="D25" s="34" t="str">
        <x:v>P0</x:v>
      </x:c>
      <x:c r="E25" s="34" t="str">
        <x:v>G0</x:v>
      </x:c>
      <x:c r="F25" s="34" t="str">
        <x:v>WS-C</x:v>
      </x:c>
      <x:c r="G25" s="34" t="str">
        <x:v>documentation</x:v>
      </x:c>
      <x:c r="H25" s="34" t="str">
        <x:v>Create the Unity 6 LTS project under unity/ and record the exact editor version.</x:v>
      </x:c>
      <x:c r="I25" s="34" t="str">
        <x:v>P0.3.S015</x:v>
      </x:c>
      <x:c r="J25" s="34" t="str"/>
      <x:c r="K25" s="34" t="str">
        <x:v>ProjectVersion.txt and README agree.</x:v>
      </x:c>
      <x:c r="L25" s="34" t="str">
        <x:v>ProjectVersion.txt and README agree.</x:v>
      </x:c>
      <x:c r="M25" s="34" t="str">
        <x:v>repository skeleton and clean-clone evidence</x:v>
      </x:c>
      <x:c r="N25" s="34" t="str">
        <x:v>not_started</x:v>
      </x:c>
      <x:c r="O25" s="34" t="str">
        <x:v>Initial coding agent</x:v>
      </x:c>
      <x:c r="P25" s="34" t="str">
        <x:v>agent</x:v>
      </x:c>
      <x:c r="Q25" s="34" t="str">
        <x:v>bootstrap/repository-governance</x:v>
      </x:c>
      <x:c r="R25" s="36" t="str"/>
      <x:c r="S25" s="36" t="str"/>
      <x:c r="T25" s="34" t="str"/>
      <x:c r="U25" s="34" t="str"/>
      <x:c r="V25" s="34" t="str">
        <x:v>ELTS Build Plan P0.3</x:v>
      </x:c>
    </x:row>
    <x:row r="26">
      <x:c r="A26" s="10" t="n">
        <x:v>21</x:v>
      </x:c>
      <x:c r="B26" s="10" t="str">
        <x:v>P0.3.S017</x:v>
      </x:c>
      <x:c r="C26" s="10" t="str">
        <x:v>P0.3</x:v>
      </x:c>
      <x:c r="D26" s="10" t="str">
        <x:v>P0</x:v>
      </x:c>
      <x:c r="E26" s="10" t="str">
        <x:v>G0</x:v>
      </x:c>
      <x:c r="F26" s="10" t="str">
        <x:v>WS-C</x:v>
      </x:c>
      <x:c r="G26" s="10" t="str">
        <x:v>implementation</x:v>
      </x:c>
      <x:c r="H26" s="10" t="str">
        <x:v>Configure the Universal Render Pipeline and commit all required project settings and meta files.</x:v>
      </x:c>
      <x:c r="I26" s="10" t="str">
        <x:v>P0.3.S016</x:v>
      </x:c>
      <x:c r="J26" s="10" t="str"/>
      <x:c r="K26" s="10" t="str">
        <x:v>Clean import succeeds with the pinned editor.</x:v>
      </x:c>
      <x:c r="L26" s="10" t="str">
        <x:v>Clean import succeeds with the pinned editor.</x:v>
      </x:c>
      <x:c r="M26" s="10" t="str">
        <x:v>repository skeleton and clean-clone evidence</x:v>
      </x:c>
      <x:c r="N26" s="10" t="str">
        <x:v>not_started</x:v>
      </x:c>
      <x:c r="O26" s="10" t="str">
        <x:v>Initial coding agent</x:v>
      </x:c>
      <x:c r="P26" s="10" t="str">
        <x:v>agent</x:v>
      </x:c>
      <x:c r="Q26" s="10" t="str">
        <x:v>bootstrap/repository-governance</x:v>
      </x:c>
      <x:c r="R26" s="35" t="str"/>
      <x:c r="S26" s="35" t="str"/>
      <x:c r="T26" s="10" t="str"/>
      <x:c r="U26" s="10" t="str"/>
      <x:c r="V26" s="10" t="str">
        <x:v>ELTS Build Plan P0.3</x:v>
      </x:c>
    </x:row>
    <x:row r="27">
      <x:c r="A27" s="34" t="n">
        <x:v>22</x:v>
      </x:c>
      <x:c r="B27" s="34" t="str">
        <x:v>P0.3.S018</x:v>
      </x:c>
      <x:c r="C27" s="34" t="str">
        <x:v>P0.3</x:v>
      </x:c>
      <x:c r="D27" s="34" t="str">
        <x:v>P0</x:v>
      </x:c>
      <x:c r="E27" s="34" t="str">
        <x:v>G0</x:v>
      </x:c>
      <x:c r="F27" s="34" t="str">
        <x:v>WS-C</x:v>
      </x:c>
      <x:c r="G27" s="34" t="str">
        <x:v>verification</x:v>
      </x:c>
      <x:c r="H27" s="34" t="str">
        <x:v>Remove Unity XR packages and add an automated check that rejects com.unity.xr packages.</x:v>
      </x:c>
      <x:c r="I27" s="34" t="str">
        <x:v>P0.3.S017</x:v>
      </x:c>
      <x:c r="J27" s="34" t="str"/>
      <x:c r="K27" s="34" t="str">
        <x:v>Package manifest and lock contain no prohibited XR package.</x:v>
      </x:c>
      <x:c r="L27" s="34" t="str">
        <x:v>Package manifest and lock contain no prohibited XR package.</x:v>
      </x:c>
      <x:c r="M27" s="34" t="str">
        <x:v>repository skeleton and clean-clone evidence</x:v>
      </x:c>
      <x:c r="N27" s="34" t="str">
        <x:v>not_started</x:v>
      </x:c>
      <x:c r="O27" s="34" t="str">
        <x:v>Initial coding agent</x:v>
      </x:c>
      <x:c r="P27" s="34" t="str">
        <x:v>agent</x:v>
      </x:c>
      <x:c r="Q27" s="34" t="str">
        <x:v>bootstrap/repository-governance</x:v>
      </x:c>
      <x:c r="R27" s="36" t="str"/>
      <x:c r="S27" s="36" t="str"/>
      <x:c r="T27" s="34" t="str"/>
      <x:c r="U27" s="34" t="str"/>
      <x:c r="V27" s="34" t="str">
        <x:v>ELTS Build Plan P0.3</x:v>
      </x:c>
    </x:row>
    <x:row r="28">
      <x:c r="A28" s="10" t="n">
        <x:v>23</x:v>
      </x:c>
      <x:c r="B28" s="10" t="str">
        <x:v>P0.3.S019</x:v>
      </x:c>
      <x:c r="C28" s="10" t="str">
        <x:v>P0.3</x:v>
      </x:c>
      <x:c r="D28" s="10" t="str">
        <x:v>P0</x:v>
      </x:c>
      <x:c r="E28" s="10" t="str">
        <x:v>G0</x:v>
      </x:c>
      <x:c r="F28" s="10" t="str">
        <x:v>WS-C</x:v>
      </x:c>
      <x:c r="G28" s="10" t="str">
        <x:v>verification</x:v>
      </x:c>
      <x:c r="H28" s="10" t="str">
        <x:v>Vendor the exact OpenVR bindings and native library with license, upstream version or commit, and checksums.</x:v>
      </x:c>
      <x:c r="I28" s="10" t="str">
        <x:v>P0.3.S018</x:v>
      </x:c>
      <x:c r="J28" s="10" t="str"/>
      <x:c r="K28" s="10" t="str">
        <x:v>Third-party provenance is complete and verified.</x:v>
      </x:c>
      <x:c r="L28" s="10" t="str">
        <x:v>Third-party provenance is complete and verified.</x:v>
      </x:c>
      <x:c r="M28" s="10" t="str">
        <x:v>repository skeleton and clean-clone evidence</x:v>
      </x:c>
      <x:c r="N28" s="10" t="str">
        <x:v>not_started</x:v>
      </x:c>
      <x:c r="O28" s="10" t="str">
        <x:v>Initial coding agent</x:v>
      </x:c>
      <x:c r="P28" s="10" t="str">
        <x:v>agent</x:v>
      </x:c>
      <x:c r="Q28" s="10" t="str">
        <x:v>bootstrap/repository-governance</x:v>
      </x:c>
      <x:c r="R28" s="35" t="str"/>
      <x:c r="S28" s="35" t="str"/>
      <x:c r="T28" s="10" t="str"/>
      <x:c r="U28" s="10" t="str"/>
      <x:c r="V28" s="10" t="str">
        <x:v>ELTS Build Plan P0.3</x:v>
      </x:c>
    </x:row>
    <x:row r="29">
      <x:c r="A29" s="34" t="n">
        <x:v>24</x:v>
      </x:c>
      <x:c r="B29" s="34" t="str">
        <x:v>P0.3.S020</x:v>
      </x:c>
      <x:c r="C29" s="34" t="str">
        <x:v>P0.3</x:v>
      </x:c>
      <x:c r="D29" s="34" t="str">
        <x:v>P0</x:v>
      </x:c>
      <x:c r="E29" s="34" t="str">
        <x:v>G0</x:v>
      </x:c>
      <x:c r="F29" s="34" t="str">
        <x:v>WS-C</x:v>
      </x:c>
      <x:c r="G29" s="34" t="str">
        <x:v>verification</x:v>
      </x:c>
      <x:c r="H29" s="34" t="str">
        <x:v>Add pinned Newtonsoft JSON and Unity Test Framework dependencies.</x:v>
      </x:c>
      <x:c r="I29" s="34" t="str">
        <x:v>P0.3.S019</x:v>
      </x:c>
      <x:c r="J29" s="34" t="str"/>
      <x:c r="K29" s="34" t="str">
        <x:v>Package manifest and lock agree.</x:v>
      </x:c>
      <x:c r="L29" s="34" t="str">
        <x:v>Package manifest and lock agree.</x:v>
      </x:c>
      <x:c r="M29" s="34" t="str">
        <x:v>repository skeleton and clean-clone evidence</x:v>
      </x:c>
      <x:c r="N29" s="34" t="str">
        <x:v>not_started</x:v>
      </x:c>
      <x:c r="O29" s="34" t="str">
        <x:v>Initial coding agent</x:v>
      </x:c>
      <x:c r="P29" s="34" t="str">
        <x:v>agent</x:v>
      </x:c>
      <x:c r="Q29" s="34" t="str">
        <x:v>bootstrap/repository-governance</x:v>
      </x:c>
      <x:c r="R29" s="36" t="str"/>
      <x:c r="S29" s="36" t="str"/>
      <x:c r="T29" s="34" t="str"/>
      <x:c r="U29" s="34" t="str"/>
      <x:c r="V29" s="34" t="str">
        <x:v>ELTS Build Plan P0.3</x:v>
      </x:c>
    </x:row>
    <x:row r="30">
      <x:c r="A30" s="10" t="n">
        <x:v>25</x:v>
      </x:c>
      <x:c r="B30" s="10" t="str">
        <x:v>P0.3.S021</x:v>
      </x:c>
      <x:c r="C30" s="10" t="str">
        <x:v>P0.3</x:v>
      </x:c>
      <x:c r="D30" s="10" t="str">
        <x:v>P0</x:v>
      </x:c>
      <x:c r="E30" s="10" t="str">
        <x:v>G0</x:v>
      </x:c>
      <x:c r="F30" s="10" t="str">
        <x:v>WS-C</x:v>
      </x:c>
      <x:c r="G30" s="10" t="str">
        <x:v>verification</x:v>
      </x:c>
      <x:c r="H30" s="10" t="str">
        <x:v>Create EditMode and PlayMode test assemblies with one passing smoke test each.</x:v>
      </x:c>
      <x:c r="I30" s="10" t="str">
        <x:v>P0.3.S020</x:v>
      </x:c>
      <x:c r="J30" s="10" t="str"/>
      <x:c r="K30" s="10" t="str">
        <x:v>Both suites run successfully in batch mode.</x:v>
      </x:c>
      <x:c r="L30" s="10" t="str">
        <x:v>Both suites run successfully in batch mode.</x:v>
      </x:c>
      <x:c r="M30" s="10" t="str">
        <x:v>repository skeleton and clean-clone evidence</x:v>
      </x:c>
      <x:c r="N30" s="10" t="str">
        <x:v>not_started</x:v>
      </x:c>
      <x:c r="O30" s="10" t="str">
        <x:v>Initial coding agent</x:v>
      </x:c>
      <x:c r="P30" s="10" t="str">
        <x:v>agent</x:v>
      </x:c>
      <x:c r="Q30" s="10" t="str">
        <x:v>bootstrap/repository-governance</x:v>
      </x:c>
      <x:c r="R30" s="35" t="str"/>
      <x:c r="S30" s="35" t="str"/>
      <x:c r="T30" s="10" t="str"/>
      <x:c r="U30" s="10" t="str"/>
      <x:c r="V30" s="10" t="str">
        <x:v>ELTS Build Plan P0.3</x:v>
      </x:c>
    </x:row>
    <x:row r="31">
      <x:c r="A31" s="34" t="n">
        <x:v>26</x:v>
      </x:c>
      <x:c r="B31" s="34" t="str">
        <x:v>P0.3.S022</x:v>
      </x:c>
      <x:c r="C31" s="34" t="str">
        <x:v>P0.3</x:v>
      </x:c>
      <x:c r="D31" s="34" t="str">
        <x:v>P0</x:v>
      </x:c>
      <x:c r="E31" s="34" t="str">
        <x:v>G0</x:v>
      </x:c>
      <x:c r="F31" s="34" t="str">
        <x:v>WS-C</x:v>
      </x:c>
      <x:c r="G31" s="34" t="str">
        <x:v>implementation</x:v>
      </x:c>
      <x:c r="H31" s="34" t="str">
        <x:v>Create the versioned Windows standalone build script using an explicit build target or profile.</x:v>
      </x:c>
      <x:c r="I31" s="34" t="str">
        <x:v>P0.3.S021</x:v>
      </x:c>
      <x:c r="J31" s="34" t="str"/>
      <x:c r="K31" s="34" t="str">
        <x:v>A batch build emits version and provenance metadata.</x:v>
      </x:c>
      <x:c r="L31" s="34" t="str">
        <x:v>A batch build emits version and provenance metadata.</x:v>
      </x:c>
      <x:c r="M31" s="34" t="str">
        <x:v>repository skeleton and clean-clone evidence</x:v>
      </x:c>
      <x:c r="N31" s="34" t="str">
        <x:v>not_started</x:v>
      </x:c>
      <x:c r="O31" s="34" t="str">
        <x:v>Initial coding agent</x:v>
      </x:c>
      <x:c r="P31" s="34" t="str">
        <x:v>agent</x:v>
      </x:c>
      <x:c r="Q31" s="34" t="str">
        <x:v>bootstrap/repository-governance</x:v>
      </x:c>
      <x:c r="R31" s="36" t="str"/>
      <x:c r="S31" s="36" t="str"/>
      <x:c r="T31" s="34" t="str"/>
      <x:c r="U31" s="34" t="str"/>
      <x:c r="V31" s="34" t="str">
        <x:v>ELTS Build Plan P0.3</x:v>
      </x:c>
    </x:row>
    <x:row r="32">
      <x:c r="A32" s="10" t="n">
        <x:v>27</x:v>
      </x:c>
      <x:c r="B32" s="10" t="str">
        <x:v>P0.3.S023</x:v>
      </x:c>
      <x:c r="C32" s="10" t="str">
        <x:v>P0.3</x:v>
      </x:c>
      <x:c r="D32" s="10" t="str">
        <x:v>P0</x:v>
      </x:c>
      <x:c r="E32" s="10" t="str">
        <x:v>G0</x:v>
      </x:c>
      <x:c r="F32" s="10" t="str">
        <x:v>WS-C</x:v>
      </x:c>
      <x:c r="G32" s="10" t="str">
        <x:v>verification</x:v>
      </x:c>
      <x:c r="H32" s="10" t="str">
        <x:v>Create repository-policy and Unity CI workflows, initially advisory until their check names are established.</x:v>
      </x:c>
      <x:c r="I32" s="10" t="str">
        <x:v>P0.3.S022</x:v>
      </x:c>
      <x:c r="J32" s="10" t="str"/>
      <x:c r="K32" s="10" t="str">
        <x:v>Workflows validate locally or in a pull request.</x:v>
      </x:c>
      <x:c r="L32" s="10" t="str">
        <x:v>Workflows validate locally or in a pull request.</x:v>
      </x:c>
      <x:c r="M32" s="10" t="str">
        <x:v>repository skeleton and clean-clone evidence</x:v>
      </x:c>
      <x:c r="N32" s="10" t="str">
        <x:v>not_started</x:v>
      </x:c>
      <x:c r="O32" s="10" t="str">
        <x:v>Initial coding agent</x:v>
      </x:c>
      <x:c r="P32" s="10" t="str">
        <x:v>agent</x:v>
      </x:c>
      <x:c r="Q32" s="10" t="str">
        <x:v>bootstrap/repository-governance</x:v>
      </x:c>
      <x:c r="R32" s="35" t="str"/>
      <x:c r="S32" s="35" t="str"/>
      <x:c r="T32" s="10" t="str"/>
      <x:c r="U32" s="10" t="str"/>
      <x:c r="V32" s="10" t="str">
        <x:v>ELTS Build Plan P0.3</x:v>
      </x:c>
    </x:row>
    <x:row r="33">
      <x:c r="A33" s="34" t="n">
        <x:v>28</x:v>
      </x:c>
      <x:c r="B33" s="34" t="str">
        <x:v>P0.3.S024</x:v>
      </x:c>
      <x:c r="C33" s="34" t="str">
        <x:v>P0.3</x:v>
      </x:c>
      <x:c r="D33" s="34" t="str">
        <x:v>P0</x:v>
      </x:c>
      <x:c r="E33" s="34" t="str">
        <x:v>G0</x:v>
      </x:c>
      <x:c r="F33" s="34" t="str">
        <x:v>WS-C</x:v>
      </x:c>
      <x:c r="G33" s="34" t="str">
        <x:v>verification</x:v>
      </x:c>
      <x:c r="H33" s="34" t="str">
        <x:v>Configure the GitHub main-branch ruleset after CI checks exist: pull request, required checks, conversation resolution, linear history, no force pushes or deletion.</x:v>
      </x:c>
      <x:c r="I33" s="34" t="str">
        <x:v>P0.3.S023</x:v>
      </x:c>
      <x:c r="J33" s="34" t="str"/>
      <x:c r="K33" s="34" t="str">
        <x:v>Ruleset settings are captured in repository documentation.</x:v>
      </x:c>
      <x:c r="L33" s="34" t="str">
        <x:v>Ruleset settings are captured in repository documentation.</x:v>
      </x:c>
      <x:c r="M33" s="34" t="str">
        <x:v>repository skeleton and clean-clone evidence</x:v>
      </x:c>
      <x:c r="N33" s="34" t="str">
        <x:v>not_started</x:v>
      </x:c>
      <x:c r="O33" s="34" t="str">
        <x:v>Repository owner</x:v>
      </x:c>
      <x:c r="P33" s="34" t="str">
        <x:v>human</x:v>
      </x:c>
      <x:c r="Q33" s="34" t="str">
        <x:v>bootstrap/repository-governance</x:v>
      </x:c>
      <x:c r="R33" s="36" t="str"/>
      <x:c r="S33" s="36" t="str"/>
      <x:c r="T33" s="34" t="str"/>
      <x:c r="U33" s="34" t="str"/>
      <x:c r="V33" s="34" t="str">
        <x:v>ELTS Build Plan P0.3</x:v>
      </x:c>
    </x:row>
    <x:row r="34">
      <x:c r="A34" s="10" t="n">
        <x:v>29</x:v>
      </x:c>
      <x:c r="B34" s="10" t="str">
        <x:v>P0.3.S025</x:v>
      </x:c>
      <x:c r="C34" s="10" t="str">
        <x:v>P0.3</x:v>
      </x:c>
      <x:c r="D34" s="10" t="str">
        <x:v>P0</x:v>
      </x:c>
      <x:c r="E34" s="10" t="str">
        <x:v>G0</x:v>
      </x:c>
      <x:c r="F34" s="10" t="str">
        <x:v>WS-C</x:v>
      </x:c>
      <x:c r="G34" s="10" t="str">
        <x:v>verification</x:v>
      </x:c>
      <x:c r="H34" s="10" t="str">
        <x:v>Run a clean-clone bootstrap, test, and standalone-build rehearsal in a path containing spaces.</x:v>
      </x:c>
      <x:c r="I34" s="10" t="str">
        <x:v>P0.3.S024</x:v>
      </x:c>
      <x:c r="J34" s="10" t="str"/>
      <x:c r="K34" s="10" t="str">
        <x:v>All commands pass and the doctor report is preserved as evidence.</x:v>
      </x:c>
      <x:c r="L34" s="10" t="str">
        <x:v>All commands pass and the doctor report is preserved as evidence.</x:v>
      </x:c>
      <x:c r="M34" s="10" t="str">
        <x:v>repository skeleton and clean-clone evidence</x:v>
      </x:c>
      <x:c r="N34" s="10" t="str">
        <x:v>not_started</x:v>
      </x:c>
      <x:c r="O34" s="10" t="str">
        <x:v>Initial coding agent</x:v>
      </x:c>
      <x:c r="P34" s="10" t="str">
        <x:v>agent</x:v>
      </x:c>
      <x:c r="Q34" s="10" t="str">
        <x:v>bootstrap/repository-governance</x:v>
      </x:c>
      <x:c r="R34" s="35" t="str"/>
      <x:c r="S34" s="35" t="str"/>
      <x:c r="T34" s="10" t="str"/>
      <x:c r="U34" s="10" t="str"/>
      <x:c r="V34" s="10" t="str">
        <x:v>ELTS Build Plan P0.3</x:v>
      </x:c>
    </x:row>
    <x:row r="35">
      <x:c r="A35" s="34" t="n">
        <x:v>30</x:v>
      </x:c>
      <x:c r="B35" s="34" t="str">
        <x:v>P0.3.S026</x:v>
      </x:c>
      <x:c r="C35" s="34" t="str">
        <x:v>P0.3</x:v>
      </x:c>
      <x:c r="D35" s="34" t="str">
        <x:v>P0</x:v>
      </x:c>
      <x:c r="E35" s="34" t="str">
        <x:v>G0</x:v>
      </x:c>
      <x:c r="F35" s="34" t="str">
        <x:v>WS-C</x:v>
      </x:c>
      <x:c r="G35" s="34" t="str">
        <x:v>verification</x:v>
      </x:c>
      <x:c r="H35" s="34" t="str">
        <x:v>Regenerate PROJECT_STATE.json from events and confirm it reports the next eligible task and all blockers deterministically.</x:v>
      </x:c>
      <x:c r="I35" s="34" t="str">
        <x:v>P0.3.S025</x:v>
      </x:c>
      <x:c r="J35" s="34" t="str"/>
      <x:c r="K35" s="34" t="str">
        <x:v>CI regeneration produces no diff.</x:v>
      </x:c>
      <x:c r="L35" s="34" t="str">
        <x:v>CI regeneration produces no diff.</x:v>
      </x:c>
      <x:c r="M35" s="34" t="str">
        <x:v>repository skeleton and clean-clone evidence</x:v>
      </x:c>
      <x:c r="N35" s="34" t="str">
        <x:v>not_started</x:v>
      </x:c>
      <x:c r="O35" s="34" t="str">
        <x:v>Initial coding agent</x:v>
      </x:c>
      <x:c r="P35" s="34" t="str">
        <x:v>agent</x:v>
      </x:c>
      <x:c r="Q35" s="34" t="str">
        <x:v>bootstrap/repository-governance</x:v>
      </x:c>
      <x:c r="R35" s="36" t="str"/>
      <x:c r="S35" s="36" t="str"/>
      <x:c r="T35" s="34" t="str"/>
      <x:c r="U35" s="34" t="str"/>
      <x:c r="V35" s="34" t="str">
        <x:v>ELTS Build Plan P0.3</x:v>
      </x:c>
    </x:row>
    <x:row r="36">
      <x:c r="A36" s="10" t="n">
        <x:v>31</x:v>
      </x:c>
      <x:c r="B36" s="10" t="str">
        <x:v>P0.4.S001</x:v>
      </x:c>
      <x:c r="C36" s="10" t="str">
        <x:v>P0.4</x:v>
      </x:c>
      <x:c r="D36" s="10" t="str">
        <x:v>P0</x:v>
      </x:c>
      <x:c r="E36" s="10" t="str">
        <x:v>G0</x:v>
      </x:c>
      <x:c r="F36" s="10" t="str">
        <x:v>WS-F</x:v>
      </x:c>
      <x:c r="G36" s="10" t="str">
        <x:v>execution</x:v>
      </x:c>
      <x:c r="H36" s="10" t="str">
        <x:v>Enter every task ID from this plan into whatever tracker the team uses (GitHub Issues is fine), tagged by phase and workstream. Enter every Decision Register item as an issue assigned to its owner with its deadline.</x:v>
      </x:c>
      <x:c r="I36" s="10" t="str"/>
      <x:c r="J36" s="10" t="str"/>
      <x:c r="K36" s="10" t="str">
        <x:v>all tasks and decisions are tracked.</x:v>
      </x:c>
      <x:c r="L36" s="10" t="str">
        <x:v>all tasks and decisions are tracked.</x:v>
      </x:c>
      <x:c r="M36" s="10" t="str">
        <x:v>GitHub Issues or approved tracker export</x:v>
      </x:c>
      <x:c r="N36" s="10" t="str">
        <x:v>not_started</x:v>
      </x:c>
      <x:c r="O36" s="10" t="str">
        <x:v>Developer</x:v>
      </x:c>
      <x:c r="P36" s="10" t="str">
        <x:v>agent</x:v>
      </x:c>
      <x:c r="Q36" s="10" t="str">
        <x:v>p0/P0.4-issue-tracker-seeded</x:v>
      </x:c>
      <x:c r="R36" s="35" t="str"/>
      <x:c r="S36" s="35" t="str"/>
      <x:c r="T36" s="10" t="str"/>
      <x:c r="U36" s="10" t="str"/>
      <x:c r="V36" s="10" t="str">
        <x:v>ELTS Build Plan P0.4</x:v>
      </x:c>
    </x:row>
    <x:row r="37">
      <x:c r="A37" s="34" t="n">
        <x:v>32</x:v>
      </x:c>
      <x:c r="B37" s="34" t="str">
        <x:v>P0.4.V001</x:v>
      </x:c>
      <x:c r="C37" s="34" t="str">
        <x:v>P0.4</x:v>
      </x:c>
      <x:c r="D37" s="34" t="str">
        <x:v>P0</x:v>
      </x:c>
      <x:c r="E37" s="34" t="str">
        <x:v>G0</x:v>
      </x:c>
      <x:c r="F37" s="34" t="str">
        <x:v>WS-F</x:v>
      </x:c>
      <x:c r="G37" s="34" t="str">
        <x:v>verification</x:v>
      </x:c>
      <x:c r="H37" s="34" t="str">
        <x:v>Verify P0.4 against its completion criteria and attach evidence.</x:v>
      </x:c>
      <x:c r="I37" s="34" t="str">
        <x:v>P0.4.S001</x:v>
      </x:c>
      <x:c r="J37" s="34" t="str"/>
      <x:c r="K37" s="34" t="str">
        <x:v>all tasks and decisions are tracked.</x:v>
      </x:c>
      <x:c r="L37" s="34" t="str">
        <x:v>all tasks and decisions are tracked.</x:v>
      </x:c>
      <x:c r="M37" s="34" t="str">
        <x:v>GitHub Issues or approved tracker export</x:v>
      </x:c>
      <x:c r="N37" s="34" t="str">
        <x:v>not_started</x:v>
      </x:c>
      <x:c r="O37" s="34" t="str">
        <x:v>Developer</x:v>
      </x:c>
      <x:c r="P37" s="34" t="str">
        <x:v>automated_check</x:v>
      </x:c>
      <x:c r="Q37" s="34" t="str">
        <x:v>p0/P0.4-issue-tracker-seeded</x:v>
      </x:c>
      <x:c r="R37" s="36" t="str"/>
      <x:c r="S37" s="36" t="str"/>
      <x:c r="T37" s="34" t="str"/>
      <x:c r="U37" s="34" t="str"/>
      <x:c r="V37" s="34" t="str">
        <x:v>ELTS Build Plan P0.4</x:v>
      </x:c>
    </x:row>
    <x:row r="38">
      <x:c r="A38" s="10" t="n">
        <x:v>33</x:v>
      </x:c>
      <x:c r="B38" s="10" t="str">
        <x:v>P0.5.S001</x:v>
      </x:c>
      <x:c r="C38" s="10" t="str">
        <x:v>P0.5</x:v>
      </x:c>
      <x:c r="D38" s="10" t="str">
        <x:v>P0</x:v>
      </x:c>
      <x:c r="E38" s="10" t="str">
        <x:v>G0</x:v>
      </x:c>
      <x:c r="F38" s="10" t="str">
        <x:v>WS-F</x:v>
      </x:c>
      <x:c r="G38" s="10" t="str">
        <x:v>decision</x:v>
      </x:c>
      <x:c r="H38" s="10" t="str">
        <x:v>Walk §15 with the investigators. For each item, confirm the owner and the "must be decided by" phase. Identify which items need the collaborators (D-12 needs Dr. Liang and Dr. Park's equipment details).</x:v>
      </x:c>
      <x:c r="I38" s="10" t="str"/>
      <x:c r="J38" s="10" t="str">
        <x:v>D-12</x:v>
      </x:c>
      <x:c r="K38" s="10" t="str">
        <x:v>every register row has an owner who has acknowledged it.</x:v>
      </x:c>
      <x:c r="L38" s="10" t="str">
        <x:v>every register row has an owner who has acknowledged it.</x:v>
      </x:c>
      <x:c r="M38" s="10" t="str">
        <x:v>planning/decisions/</x:v>
      </x:c>
      <x:c r="N38" s="10" t="str">
        <x:v>not_started</x:v>
      </x:c>
      <x:c r="O38" s="10" t="str">
        <x:v>Investigator and developer</x:v>
      </x:c>
      <x:c r="P38" s="10" t="str">
        <x:v>mixed</x:v>
      </x:c>
      <x:c r="Q38" s="10" t="str">
        <x:v>p0/P0.5-decision-register-kicked-off</x:v>
      </x:c>
      <x:c r="R38" s="35" t="str"/>
      <x:c r="S38" s="35" t="str"/>
      <x:c r="T38" s="10" t="str"/>
      <x:c r="U38" s="10" t="str"/>
      <x:c r="V38" s="10" t="str">
        <x:v>ELTS Build Plan P0.5</x:v>
      </x:c>
    </x:row>
    <x:row r="39">
      <x:c r="A39" s="34" t="n">
        <x:v>34</x:v>
      </x:c>
      <x:c r="B39" s="34" t="str">
        <x:v>P0.5.V001</x:v>
      </x:c>
      <x:c r="C39" s="34" t="str">
        <x:v>P0.5</x:v>
      </x:c>
      <x:c r="D39" s="34" t="str">
        <x:v>P0</x:v>
      </x:c>
      <x:c r="E39" s="34" t="str">
        <x:v>G0</x:v>
      </x:c>
      <x:c r="F39" s="34" t="str">
        <x:v>WS-F</x:v>
      </x:c>
      <x:c r="G39" s="34" t="str">
        <x:v>verification</x:v>
      </x:c>
      <x:c r="H39" s="34" t="str">
        <x:v>Verify P0.5 against its completion criteria and attach evidence.</x:v>
      </x:c>
      <x:c r="I39" s="34" t="str">
        <x:v>P0.5.S001</x:v>
      </x:c>
      <x:c r="J39" s="34" t="str">
        <x:v>D-12</x:v>
      </x:c>
      <x:c r="K39" s="34" t="str">
        <x:v>every register row has an owner who has acknowledged it.</x:v>
      </x:c>
      <x:c r="L39" s="34" t="str">
        <x:v>every register row has an owner who has acknowledged it.</x:v>
      </x:c>
      <x:c r="M39" s="34" t="str">
        <x:v>planning/decisions/</x:v>
      </x:c>
      <x:c r="N39" s="34" t="str">
        <x:v>not_started</x:v>
      </x:c>
      <x:c r="O39" s="34" t="str">
        <x:v>Investigator and developer</x:v>
      </x:c>
      <x:c r="P39" s="34" t="str">
        <x:v>mixed</x:v>
      </x:c>
      <x:c r="Q39" s="34" t="str">
        <x:v>p0/P0.5-decision-register-kicked-off</x:v>
      </x:c>
      <x:c r="R39" s="36" t="str"/>
      <x:c r="S39" s="36" t="str"/>
      <x:c r="T39" s="34" t="str"/>
      <x:c r="U39" s="34" t="str"/>
      <x:c r="V39" s="34" t="str">
        <x:v>ELTS Build Plan P0.5</x:v>
      </x:c>
    </x:row>
    <x:row r="40">
      <x:c r="A40" s="10" t="n">
        <x:v>35</x:v>
      </x:c>
      <x:c r="B40" s="10" t="str">
        <x:v>P0.6.S001</x:v>
      </x:c>
      <x:c r="C40" s="10" t="str">
        <x:v>P0.6</x:v>
      </x:c>
      <x:c r="D40" s="10" t="str">
        <x:v>P0</x:v>
      </x:c>
      <x:c r="E40" s="10" t="str">
        <x:v>G0</x:v>
      </x:c>
      <x:c r="F40" s="10" t="str">
        <x:v>WS-E, WS-F</x:v>
      </x:c>
      <x:c r="G40" s="10" t="str">
        <x:v>documentation</x:v>
      </x:c>
      <x:c r="H40" s="10" t="str">
        <x:v>Two documents are opened now and completed by Phase 7:</x:v>
      </x:c>
      <x:c r="I40" s="10" t="str"/>
      <x:c r="J40" s="10" t="str">
        <x:v>D-13, D-14</x:v>
      </x:c>
      <x:c r="K40" s="10" t="str">
        <x:v>Change or evidence attributable to P0.6.S001</x:v>
      </x:c>
      <x:c r="L40" s="10" t="str">
        <x:v>Review the changed artifact and run the nearest relevant automated or lab check.</x:v>
      </x:c>
      <x:c r="M40" s="10" t="str">
        <x:v>docs/safety/</x:v>
      </x:c>
      <x:c r="N40" s="10" t="str">
        <x:v>not_started</x:v>
      </x:c>
      <x:c r="O40" s="10" t="str">
        <x:v>Investigator and developer</x:v>
      </x:c>
      <x:c r="P40" s="10" t="str">
        <x:v>mixed</x:v>
      </x:c>
      <x:c r="Q40" s="10" t="str">
        <x:v>p0/P0.6-safety-documentation-started</x:v>
      </x:c>
      <x:c r="R40" s="35" t="str"/>
      <x:c r="S40" s="35" t="str"/>
      <x:c r="T40" s="10" t="str"/>
      <x:c r="U40" s="10" t="str"/>
      <x:c r="V40" s="10" t="str">
        <x:v>ELTS Build Plan P0.6</x:v>
      </x:c>
    </x:row>
    <x:row r="41">
      <x:c r="A41" s="34" t="n">
        <x:v>36</x:v>
      </x:c>
      <x:c r="B41" s="34" t="str">
        <x:v>P0.6.S002</x:v>
      </x:c>
      <x:c r="C41" s="34" t="str">
        <x:v>P0.6</x:v>
      </x:c>
      <x:c r="D41" s="34" t="str">
        <x:v>P0</x:v>
      </x:c>
      <x:c r="E41" s="34" t="str">
        <x:v>G0</x:v>
      </x:c>
      <x:c r="F41" s="34" t="str">
        <x:v>WS-E, WS-F</x:v>
      </x:c>
      <x:c r="G41" s="34" t="str">
        <x:v>implementation</x:v>
      </x:c>
      <x:c r="H41" s="34" t="str">
        <x:v>ELTS emitter safety sheet (D-13, D-14): LED part numbers, wattage, color temperature, beam angle, optics, drive current; basis of the IRB's exposure approval; IEC 62471 classification or a written statement of why one is not required. Owned by the investigators; the developer supplies the operational limits it implies (max on-time per block, Appendix D.5).</x:v>
      </x:c>
      <x:c r="I41" s="34" t="str">
        <x:v>P0.6.S001</x:v>
      </x:c>
      <x:c r="J41" s="34" t="str">
        <x:v>D-13, D-14</x:v>
      </x:c>
      <x:c r="K41" s="34" t="str">
        <x:v>Change or evidence attributable to P0.6.S002</x:v>
      </x:c>
      <x:c r="L41" s="34" t="str">
        <x:v>Review the changed artifact and run the nearest relevant automated or lab check.</x:v>
      </x:c>
      <x:c r="M41" s="34" t="str">
        <x:v>docs/safety/</x:v>
      </x:c>
      <x:c r="N41" s="34" t="str">
        <x:v>not_started</x:v>
      </x:c>
      <x:c r="O41" s="34" t="str">
        <x:v>Investigator and developer</x:v>
      </x:c>
      <x:c r="P41" s="34" t="str">
        <x:v>mixed</x:v>
      </x:c>
      <x:c r="Q41" s="34" t="str">
        <x:v>p0/P0.6-safety-documentation-started</x:v>
      </x:c>
      <x:c r="R41" s="36" t="str"/>
      <x:c r="S41" s="36" t="str"/>
      <x:c r="T41" s="34" t="str"/>
      <x:c r="U41" s="34" t="str"/>
      <x:c r="V41" s="34" t="str">
        <x:v>ELTS Build Plan P0.6</x:v>
      </x:c>
    </x:row>
    <x:row r="42">
      <x:c r="A42" s="10" t="n">
        <x:v>37</x:v>
      </x:c>
      <x:c r="B42" s="10" t="str">
        <x:v>P0.6.S003</x:v>
      </x:c>
      <x:c r="C42" s="10" t="str">
        <x:v>P0.6</x:v>
      </x:c>
      <x:c r="D42" s="10" t="str">
        <x:v>P0</x:v>
      </x:c>
      <x:c r="E42" s="10" t="str">
        <x:v>G0</x:v>
      </x:c>
      <x:c r="F42" s="10" t="str">
        <x:v>WS-E, WS-F</x:v>
      </x:c>
      <x:c r="G42" s="10" t="str">
        <x:v>execution</x:v>
      </x:c>
      <x:c r="H42" s="10" t="str">
        <x:v>Mock weapon campus notice (§13.4): who is informed, storage, transport rules.</x:v>
      </x:c>
      <x:c r="I42" s="10" t="str">
        <x:v>P0.6.S002</x:v>
      </x:c>
      <x:c r="J42" s="10" t="str">
        <x:v>D-13, D-14</x:v>
      </x:c>
      <x:c r="K42" s="10" t="str">
        <x:v>both documents exist with owners and a target completion date.</x:v>
      </x:c>
      <x:c r="L42" s="10" t="str">
        <x:v>both documents exist with owners and a target completion date.</x:v>
      </x:c>
      <x:c r="M42" s="10" t="str">
        <x:v>docs/safety/</x:v>
      </x:c>
      <x:c r="N42" s="10" t="str">
        <x:v>not_started</x:v>
      </x:c>
      <x:c r="O42" s="10" t="str">
        <x:v>Investigator and developer</x:v>
      </x:c>
      <x:c r="P42" s="10" t="str">
        <x:v>mixed</x:v>
      </x:c>
      <x:c r="Q42" s="10" t="str">
        <x:v>p0/P0.6-safety-documentation-started</x:v>
      </x:c>
      <x:c r="R42" s="35" t="str"/>
      <x:c r="S42" s="35" t="str"/>
      <x:c r="T42" s="10" t="str"/>
      <x:c r="U42" s="10" t="str"/>
      <x:c r="V42" s="10" t="str">
        <x:v>ELTS Build Plan P0.6</x:v>
      </x:c>
    </x:row>
    <x:row r="43">
      <x:c r="A43" s="34" t="n">
        <x:v>38</x:v>
      </x:c>
      <x:c r="B43" s="34" t="str">
        <x:v>P0.6.V001</x:v>
      </x:c>
      <x:c r="C43" s="34" t="str">
        <x:v>P0.6</x:v>
      </x:c>
      <x:c r="D43" s="34" t="str">
        <x:v>P0</x:v>
      </x:c>
      <x:c r="E43" s="34" t="str">
        <x:v>G0</x:v>
      </x:c>
      <x:c r="F43" s="34" t="str">
        <x:v>WS-E, WS-F</x:v>
      </x:c>
      <x:c r="G43" s="34" t="str">
        <x:v>verification</x:v>
      </x:c>
      <x:c r="H43" s="34" t="str">
        <x:v>Verify P0.6 against its completion criteria and attach evidence.</x:v>
      </x:c>
      <x:c r="I43" s="34" t="str">
        <x:v>P0.6.S003</x:v>
      </x:c>
      <x:c r="J43" s="34" t="str">
        <x:v>D-13, D-14</x:v>
      </x:c>
      <x:c r="K43" s="34" t="str">
        <x:v>both documents exist with owners and a target completion date.</x:v>
      </x:c>
      <x:c r="L43" s="34" t="str">
        <x:v>both documents exist with owners and a target completion date.</x:v>
      </x:c>
      <x:c r="M43" s="34" t="str">
        <x:v>docs/safety/</x:v>
      </x:c>
      <x:c r="N43" s="34" t="str">
        <x:v>not_started</x:v>
      </x:c>
      <x:c r="O43" s="34" t="str">
        <x:v>Investigator and developer</x:v>
      </x:c>
      <x:c r="P43" s="34" t="str">
        <x:v>mixed</x:v>
      </x:c>
      <x:c r="Q43" s="34" t="str">
        <x:v>p0/P0.6-safety-documentation-started</x:v>
      </x:c>
      <x:c r="R43" s="36" t="str"/>
      <x:c r="S43" s="36" t="str"/>
      <x:c r="T43" s="34" t="str"/>
      <x:c r="U43" s="34" t="str"/>
      <x:c r="V43" s="34" t="str">
        <x:v>ELTS Build Plan P0.6</x:v>
      </x:c>
    </x:row>
    <x:row r="44">
      <x:c r="A44" s="10" t="n">
        <x:v>39</x:v>
      </x:c>
      <x:c r="B44" s="10" t="str">
        <x:v>P0.7.S001</x:v>
      </x:c>
      <x:c r="C44" s="10" t="str">
        <x:v>P0.7</x:v>
      </x:c>
      <x:c r="D44" s="10" t="str">
        <x:v>P0</x:v>
      </x:c>
      <x:c r="E44" s="10" t="str">
        <x:v>G0</x:v>
      </x:c>
      <x:c r="F44" s="10" t="str">
        <x:v>WS-E, WS-F</x:v>
      </x:c>
      <x:c r="G44" s="10" t="str">
        <x:v>verification</x:v>
      </x:c>
      <x:c r="H44" s="10" t="str">
        <x:v>Photograph and measure the lab space that will be used. Record candidate positions for the display, base station (must be above the display, §5.1), participant standing zone, ELTS placement (must illuminate the participant without spilling onto the display, §8), operator station, and the collaborators' equipment. Feed this into D-01 and D-02. Do not finalize anything — this is input to a decision, not the decision.</x:v>
      </x:c>
      <x:c r="I44" s="10" t="str"/>
      <x:c r="J44" s="10" t="str">
        <x:v>D-01, D-02</x:v>
      </x:c>
      <x:c r="K44" s="10" t="str">
        <x:v>a one-page sketch with measurements exists.</x:v>
      </x:c>
      <x:c r="L44" s="10" t="str">
        <x:v>a one-page sketch with measurements exists.</x:v>
      </x:c>
      <x:c r="M44" s="10" t="str">
        <x:v>docs/rig/room-survey.md</x:v>
      </x:c>
      <x:c r="N44" s="10" t="str">
        <x:v>not_started</x:v>
      </x:c>
      <x:c r="O44" s="10" t="str">
        <x:v>Investigator and developer</x:v>
      </x:c>
      <x:c r="P44" s="10" t="str">
        <x:v>mixed</x:v>
      </x:c>
      <x:c r="Q44" s="10" t="str">
        <x:v>p0/P0.7-room-and-mounting-survey</x:v>
      </x:c>
      <x:c r="R44" s="35" t="str"/>
      <x:c r="S44" s="35" t="str"/>
      <x:c r="T44" s="10" t="str"/>
      <x:c r="U44" s="10" t="str"/>
      <x:c r="V44" s="10" t="str">
        <x:v>ELTS Build Plan P0.7</x:v>
      </x:c>
    </x:row>
    <x:row r="45">
      <x:c r="A45" s="34" t="n">
        <x:v>40</x:v>
      </x:c>
      <x:c r="B45" s="34" t="str">
        <x:v>P0.7.V001</x:v>
      </x:c>
      <x:c r="C45" s="34" t="str">
        <x:v>P0.7</x:v>
      </x:c>
      <x:c r="D45" s="34" t="str">
        <x:v>P0</x:v>
      </x:c>
      <x:c r="E45" s="34" t="str">
        <x:v>G0</x:v>
      </x:c>
      <x:c r="F45" s="34" t="str">
        <x:v>WS-E, WS-F</x:v>
      </x:c>
      <x:c r="G45" s="34" t="str">
        <x:v>verification</x:v>
      </x:c>
      <x:c r="H45" s="34" t="str">
        <x:v>Verify P0.7 against its completion criteria and attach evidence.</x:v>
      </x:c>
      <x:c r="I45" s="34" t="str">
        <x:v>P0.7.S001</x:v>
      </x:c>
      <x:c r="J45" s="34" t="str">
        <x:v>D-01, D-02</x:v>
      </x:c>
      <x:c r="K45" s="34" t="str">
        <x:v>a one-page sketch with measurements exists.</x:v>
      </x:c>
      <x:c r="L45" s="34" t="str">
        <x:v>a one-page sketch with measurements exists.</x:v>
      </x:c>
      <x:c r="M45" s="34" t="str">
        <x:v>docs/rig/room-survey.md</x:v>
      </x:c>
      <x:c r="N45" s="34" t="str">
        <x:v>not_started</x:v>
      </x:c>
      <x:c r="O45" s="34" t="str">
        <x:v>Investigator and developer</x:v>
      </x:c>
      <x:c r="P45" s="34" t="str">
        <x:v>mixed</x:v>
      </x:c>
      <x:c r="Q45" s="34" t="str">
        <x:v>p0/P0.7-room-and-mounting-survey</x:v>
      </x:c>
      <x:c r="R45" s="36" t="str"/>
      <x:c r="S45" s="36" t="str"/>
      <x:c r="T45" s="34" t="str"/>
      <x:c r="U45" s="34" t="str"/>
      <x:c r="V45" s="34" t="str">
        <x:v>ELTS Build Plan P0.7</x:v>
      </x:c>
    </x:row>
    <x:row r="46">
      <x:c r="A46" s="10" t="n">
        <x:v>41</x:v>
      </x:c>
      <x:c r="B46" s="10" t="str">
        <x:v>P1.1.S001</x:v>
      </x:c>
      <x:c r="C46" s="10" t="str">
        <x:v>P1.1</x:v>
      </x:c>
      <x:c r="D46" s="10" t="str">
        <x:v>P1</x:v>
      </x:c>
      <x:c r="E46" s="10" t="str">
        <x:v>G1</x:v>
      </x:c>
      <x:c r="F46" s="10" t="str">
        <x:v>WS-A</x:v>
      </x:c>
      <x:c r="G46" s="10" t="str">
        <x:v>verification</x:v>
      </x:c>
      <x:c r="H46" s="10" t="str">
        <x:v>Mount the base station high, angled down, at a plausible position above where the display will be (final position is D-02). Power it and confirm the status LED. Note: it can be moved later; everything downstream is re-probed, not re-coded.</x:v>
      </x:c>
      <x:c r="I46" s="10" t="str">
        <x:v>G0</x:v>
      </x:c>
      <x:c r="J46" s="10" t="str">
        <x:v>D-02</x:v>
      </x:c>
      <x:c r="K46" s="10" t="str">
        <x:v>station powered and visible to a tracker.</x:v>
      </x:c>
      <x:c r="L46" s="10" t="str">
        <x:v>station powered and visible to a tracker.</x:v>
      </x:c>
      <x:c r="M46" s="10" t="str">
        <x:v>Code, documentation, test evidence, or lab evidence named in the task</x:v>
      </x:c>
      <x:c r="N46" s="10" t="str">
        <x:v>not_started</x:v>
      </x:c>
      <x:c r="O46" s="10" t="str">
        <x:v>Developer</x:v>
      </x:c>
      <x:c r="P46" s="10" t="str">
        <x:v>lab_hardware</x:v>
      </x:c>
      <x:c r="Q46" s="10" t="str">
        <x:v>p1/P1.1-base-station-temporary-mount</x:v>
      </x:c>
      <x:c r="R46" s="35" t="str"/>
      <x:c r="S46" s="35" t="str"/>
      <x:c r="T46" s="10" t="str"/>
      <x:c r="U46" s="10" t="str"/>
      <x:c r="V46" s="10" t="str">
        <x:v>ELTS Build Plan P1.1</x:v>
      </x:c>
    </x:row>
    <x:row r="47">
      <x:c r="A47" s="34" t="n">
        <x:v>42</x:v>
      </x:c>
      <x:c r="B47" s="34" t="str">
        <x:v>P1.1.V001</x:v>
      </x:c>
      <x:c r="C47" s="34" t="str">
        <x:v>P1.1</x:v>
      </x:c>
      <x:c r="D47" s="34" t="str">
        <x:v>P1</x:v>
      </x:c>
      <x:c r="E47" s="34" t="str">
        <x:v>G1</x:v>
      </x:c>
      <x:c r="F47" s="34" t="str">
        <x:v>WS-A</x:v>
      </x:c>
      <x:c r="G47" s="34" t="str">
        <x:v>verification</x:v>
      </x:c>
      <x:c r="H47" s="34" t="str">
        <x:v>Verify P1.1 against its completion criteria and attach evidence.</x:v>
      </x:c>
      <x:c r="I47" s="34" t="str">
        <x:v>P1.1.S001</x:v>
      </x:c>
      <x:c r="J47" s="34" t="str">
        <x:v>D-02</x:v>
      </x:c>
      <x:c r="K47" s="34" t="str">
        <x:v>station powered and visible to a tracker.</x:v>
      </x:c>
      <x:c r="L47" s="34" t="str">
        <x:v>station powered and visible to a tracker.</x:v>
      </x:c>
      <x:c r="M47" s="34" t="str">
        <x:v>Code, documentation, test evidence, or lab evidence named in the task</x:v>
      </x:c>
      <x:c r="N47" s="34" t="str">
        <x:v>not_started</x:v>
      </x:c>
      <x:c r="O47" s="34" t="str">
        <x:v>Developer</x:v>
      </x:c>
      <x:c r="P47" s="34" t="str">
        <x:v>lab_hardware</x:v>
      </x:c>
      <x:c r="Q47" s="34" t="str">
        <x:v>p1/P1.1-base-station-temporary-mount</x:v>
      </x:c>
      <x:c r="R47" s="36" t="str"/>
      <x:c r="S47" s="36" t="str"/>
      <x:c r="T47" s="34" t="str"/>
      <x:c r="U47" s="34" t="str"/>
      <x:c r="V47" s="34" t="str">
        <x:v>ELTS Build Plan P1.1</x:v>
      </x:c>
    </x:row>
    <x:row r="48">
      <x:c r="A48" s="10" t="n">
        <x:v>43</x:v>
      </x:c>
      <x:c r="B48" s="10" t="str">
        <x:v>P1.2.S001</x:v>
      </x:c>
      <x:c r="C48" s="10" t="str">
        <x:v>P1.2</x:v>
      </x:c>
      <x:c r="D48" s="10" t="str">
        <x:v>P1</x:v>
      </x:c>
      <x:c r="E48" s="10" t="str">
        <x:v>G1</x:v>
      </x:c>
      <x:c r="F48" s="10" t="str">
        <x:v>WS-A</x:v>
      </x:c>
      <x:c r="G48" s="10" t="str">
        <x:v>verification</x:v>
      </x:c>
      <x:c r="H48" s="10" t="str">
        <x:v>Apply the steamvr.vrsettings changes in Appendix G. Launch SteamVR with no HMD attached and confirm it reaches a "ready" state with the null driver and lists both trackers. If trackers do not appear, check activateMultipleDrivers (Appendix G).</x:v>
      </x:c>
      <x:c r="I48" s="10" t="str">
        <x:v>P1.1</x:v>
      </x:c>
      <x:c r="J48" s="10" t="str"/>
      <x:c r="K48" s="10" t="str">
        <x:v>SteamVR status window shows both trackers green with no HMD.</x:v>
      </x:c>
      <x:c r="L48" s="10" t="str">
        <x:v>SteamVR status window shows both trackers green with no HMD.</x:v>
      </x:c>
      <x:c r="M48" s="10" t="str">
        <x:v>Code, documentation, test evidence, or lab evidence named in the task</x:v>
      </x:c>
      <x:c r="N48" s="10" t="str">
        <x:v>not_started</x:v>
      </x:c>
      <x:c r="O48" s="10" t="str">
        <x:v>Developer</x:v>
      </x:c>
      <x:c r="P48" s="10" t="str">
        <x:v>lab_hardware</x:v>
      </x:c>
      <x:c r="Q48" s="10" t="str">
        <x:v>p1/P1.2-steamvr-headless-configuration</x:v>
      </x:c>
      <x:c r="R48" s="35" t="str"/>
      <x:c r="S48" s="35" t="str"/>
      <x:c r="T48" s="10" t="str"/>
      <x:c r="U48" s="10" t="str"/>
      <x:c r="V48" s="10" t="str">
        <x:v>ELTS Build Plan P1.2</x:v>
      </x:c>
    </x:row>
    <x:row r="49">
      <x:c r="A49" s="34" t="n">
        <x:v>44</x:v>
      </x:c>
      <x:c r="B49" s="34" t="str">
        <x:v>P1.2.V001</x:v>
      </x:c>
      <x:c r="C49" s="34" t="str">
        <x:v>P1.2</x:v>
      </x:c>
      <x:c r="D49" s="34" t="str">
        <x:v>P1</x:v>
      </x:c>
      <x:c r="E49" s="34" t="str">
        <x:v>G1</x:v>
      </x:c>
      <x:c r="F49" s="34" t="str">
        <x:v>WS-A</x:v>
      </x:c>
      <x:c r="G49" s="34" t="str">
        <x:v>verification</x:v>
      </x:c>
      <x:c r="H49" s="34" t="str">
        <x:v>Verify P1.2 against its completion criteria and attach evidence.</x:v>
      </x:c>
      <x:c r="I49" s="34" t="str">
        <x:v>P1.2.S001</x:v>
      </x:c>
      <x:c r="J49" s="34" t="str"/>
      <x:c r="K49" s="34" t="str">
        <x:v>SteamVR status window shows both trackers green with no HMD.</x:v>
      </x:c>
      <x:c r="L49" s="34" t="str">
        <x:v>SteamVR status window shows both trackers green with no HMD.</x:v>
      </x:c>
      <x:c r="M49" s="34" t="str">
        <x:v>Code, documentation, test evidence, or lab evidence named in the task</x:v>
      </x:c>
      <x:c r="N49" s="34" t="str">
        <x:v>not_started</x:v>
      </x:c>
      <x:c r="O49" s="34" t="str">
        <x:v>Developer</x:v>
      </x:c>
      <x:c r="P49" s="34" t="str">
        <x:v>lab_hardware</x:v>
      </x:c>
      <x:c r="Q49" s="34" t="str">
        <x:v>p1/P1.2-steamvr-headless-configuration</x:v>
      </x:c>
      <x:c r="R49" s="36" t="str"/>
      <x:c r="S49" s="36" t="str"/>
      <x:c r="T49" s="34" t="str"/>
      <x:c r="U49" s="34" t="str"/>
      <x:c r="V49" s="34" t="str">
        <x:v>ELTS Build Plan P1.2</x:v>
      </x:c>
    </x:row>
    <x:row r="50">
      <x:c r="A50" s="10" t="n">
        <x:v>45</x:v>
      </x:c>
      <x:c r="B50" s="10" t="str">
        <x:v>P1.3.S001</x:v>
      </x:c>
      <x:c r="C50" s="10" t="str">
        <x:v>P1.3</x:v>
      </x:c>
      <x:c r="D50" s="10" t="str">
        <x:v>P1</x:v>
      </x:c>
      <x:c r="E50" s="10" t="str">
        <x:v>G1</x:v>
      </x:c>
      <x:c r="F50" s="10" t="str">
        <x:v>WS-A</x:v>
      </x:c>
      <x:c r="G50" s="10" t="str">
        <x:v>documentation</x:v>
      </x:c>
      <x:c r="H50" s="10" t="str">
        <x:v>Label the two trackers physically ("WEAPON", "HEAD"). Record both serial numbers in rig.json (Appendix A). In SteamVR → Settings → Controllers → Manage Trackers, set the WEAPON tracker's role to a held-in-hand role (§5.3); leave HEAD as a generic tracker.</x:v>
      </x:c>
      <x:c r="I50" s="10" t="str">
        <x:v>P1.2</x:v>
      </x:c>
      <x:c r="J50" s="10" t="str"/>
      <x:c r="K50" s="10" t="str">
        <x:v>Change or evidence attributable to P1.3.S001</x:v>
      </x:c>
      <x:c r="L50" s="10" t="str">
        <x:v>Review the changed artifact and run the nearest relevant automated or lab check.</x:v>
      </x:c>
      <x:c r="M50" s="10" t="str">
        <x:v>config/rig/rig.json and tracker-role evidence</x:v>
      </x:c>
      <x:c r="N50" s="10" t="str">
        <x:v>not_started</x:v>
      </x:c>
      <x:c r="O50" s="10" t="str">
        <x:v>Developer</x:v>
      </x:c>
      <x:c r="P50" s="10" t="str">
        <x:v>lab_hardware</x:v>
      </x:c>
      <x:c r="Q50" s="10" t="str">
        <x:v>p1/P1.3-tracker-identification-and-roles</x:v>
      </x:c>
      <x:c r="R50" s="35" t="str"/>
      <x:c r="S50" s="35" t="str"/>
      <x:c r="T50" s="10" t="str"/>
      <x:c r="U50" s="10" t="str"/>
      <x:c r="V50" s="10" t="str">
        <x:v>ELTS Build Plan P1.3</x:v>
      </x:c>
    </x:row>
    <x:row r="51">
      <x:c r="A51" s="34" t="n">
        <x:v>46</x:v>
      </x:c>
      <x:c r="B51" s="34" t="str">
        <x:v>P1.3.S002</x:v>
      </x:c>
      <x:c r="C51" s="34" t="str">
        <x:v>P1.3</x:v>
      </x:c>
      <x:c r="D51" s="34" t="str">
        <x:v>P1</x:v>
      </x:c>
      <x:c r="E51" s="34" t="str">
        <x:v>G1</x:v>
      </x:c>
      <x:c r="F51" s="34" t="str">
        <x:v>WS-A</x:v>
      </x:c>
      <x:c r="G51" s="34" t="str">
        <x:v>execution</x:v>
      </x:c>
      <x:c r="H51" s="34" t="str">
        <x:v>### Tasks — WS-C spikes (each a separate scene/script; each gets a written finding)</x:v>
      </x:c>
      <x:c r="I51" s="34" t="str">
        <x:v>P1.3.S001</x:v>
      </x:c>
      <x:c r="J51" s="34" t="str"/>
      <x:c r="K51" s="34" t="str">
        <x:v>serials recorded; roles set; screenshot of the settings page in docs/.</x:v>
      </x:c>
      <x:c r="L51" s="34" t="str">
        <x:v>serials recorded; roles set; screenshot of the settings page in docs/.</x:v>
      </x:c>
      <x:c r="M51" s="34" t="str">
        <x:v>config/rig/rig.json and tracker-role evidence</x:v>
      </x:c>
      <x:c r="N51" s="34" t="str">
        <x:v>not_started</x:v>
      </x:c>
      <x:c r="O51" s="34" t="str">
        <x:v>Developer</x:v>
      </x:c>
      <x:c r="P51" s="34" t="str">
        <x:v>lab_hardware</x:v>
      </x:c>
      <x:c r="Q51" s="34" t="str">
        <x:v>p1/P1.3-tracker-identification-and-roles</x:v>
      </x:c>
      <x:c r="R51" s="36" t="str"/>
      <x:c r="S51" s="36" t="str"/>
      <x:c r="T51" s="34" t="str"/>
      <x:c r="U51" s="34" t="str"/>
      <x:c r="V51" s="34" t="str">
        <x:v>ELTS Build Plan P1.3</x:v>
      </x:c>
    </x:row>
    <x:row r="52">
      <x:c r="A52" s="10" t="n">
        <x:v>47</x:v>
      </x:c>
      <x:c r="B52" s="10" t="str">
        <x:v>P1.3.V001</x:v>
      </x:c>
      <x:c r="C52" s="10" t="str">
        <x:v>P1.3</x:v>
      </x:c>
      <x:c r="D52" s="10" t="str">
        <x:v>P1</x:v>
      </x:c>
      <x:c r="E52" s="10" t="str">
        <x:v>G1</x:v>
      </x:c>
      <x:c r="F52" s="10" t="str">
        <x:v>WS-A</x:v>
      </x:c>
      <x:c r="G52" s="10" t="str">
        <x:v>verification</x:v>
      </x:c>
      <x:c r="H52" s="10" t="str">
        <x:v>Verify P1.3 against its completion criteria and attach evidence.</x:v>
      </x:c>
      <x:c r="I52" s="10" t="str">
        <x:v>P1.3.S002</x:v>
      </x:c>
      <x:c r="J52" s="10" t="str"/>
      <x:c r="K52" s="10" t="str">
        <x:v>serials recorded; roles set; screenshot of the settings page in docs/.</x:v>
      </x:c>
      <x:c r="L52" s="10" t="str">
        <x:v>serials recorded; roles set; screenshot of the settings page in docs/.</x:v>
      </x:c>
      <x:c r="M52" s="10" t="str">
        <x:v>config/rig/rig.json and tracker-role evidence</x:v>
      </x:c>
      <x:c r="N52" s="10" t="str">
        <x:v>not_started</x:v>
      </x:c>
      <x:c r="O52" s="10" t="str">
        <x:v>Developer</x:v>
      </x:c>
      <x:c r="P52" s="10" t="str">
        <x:v>lab_hardware</x:v>
      </x:c>
      <x:c r="Q52" s="10" t="str">
        <x:v>p1/P1.3-tracker-identification-and-roles</x:v>
      </x:c>
      <x:c r="R52" s="35" t="str"/>
      <x:c r="S52" s="35" t="str"/>
      <x:c r="T52" s="10" t="str"/>
      <x:c r="U52" s="10" t="str"/>
      <x:c r="V52" s="10" t="str">
        <x:v>ELTS Build Plan P1.3</x:v>
      </x:c>
    </x:row>
    <x:row r="53">
      <x:c r="A53" s="34" t="n">
        <x:v>48</x:v>
      </x:c>
      <x:c r="B53" s="34" t="str">
        <x:v>P1.4.S001</x:v>
      </x:c>
      <x:c r="C53" s="34" t="str">
        <x:v>P1.4</x:v>
      </x:c>
      <x:c r="D53" s="34" t="str">
        <x:v>P1</x:v>
      </x:c>
      <x:c r="E53" s="34" t="str">
        <x:v>G1</x:v>
      </x:c>
      <x:c r="F53" s="34" t="str">
        <x:v>WS-A, WS-C</x:v>
      </x:c>
      <x:c r="G53" s="34" t="str">
        <x:v>verification</x:v>
      </x:c>
      <x:c r="H53" s="34" t="str">
        <x:v>OpenVR.Init in VRApplication_Background mode from a plain MonoBehaviour. Confirm it succeeds when SteamVR is already running and fails cleanly (with a clear operator message) when it is not. Confirm OpenVR.System is non-null and device enumeration works.</x:v>
      </x:c>
      <x:c r="I53" s="34" t="str">
        <x:v>P1.2</x:v>
      </x:c>
      <x:c r="J53" s="34" t="str"/>
      <x:c r="K53" s="34" t="str">
        <x:v>Change or evidence attributable to P1.4.S001</x:v>
      </x:c>
      <x:c r="L53" s="34" t="str">
        <x:v>Review the changed artifact and run the nearest relevant automated or lab check.</x:v>
      </x:c>
      <x:c r="M53" s="34" t="str">
        <x:v>docs/spikes.md</x:v>
      </x:c>
      <x:c r="N53" s="34" t="str">
        <x:v>not_started</x:v>
      </x:c>
      <x:c r="O53" s="34" t="str">
        <x:v>Developer</x:v>
      </x:c>
      <x:c r="P53" s="34" t="str">
        <x:v>agent</x:v>
      </x:c>
      <x:c r="Q53" s="34" t="str">
        <x:v>p1/P1.4-spike-openvr-init-from-unity-without-xr</x:v>
      </x:c>
      <x:c r="R53" s="36" t="str"/>
      <x:c r="S53" s="36" t="str"/>
      <x:c r="T53" s="34" t="str"/>
      <x:c r="U53" s="34" t="str"/>
      <x:c r="V53" s="34" t="str">
        <x:v>ELTS Build Plan P1.4</x:v>
      </x:c>
    </x:row>
    <x:row r="54">
      <x:c r="A54" s="10" t="n">
        <x:v>49</x:v>
      </x:c>
      <x:c r="B54" s="10" t="str">
        <x:v>P1.4.S002</x:v>
      </x:c>
      <x:c r="C54" s="10" t="str">
        <x:v>P1.4</x:v>
      </x:c>
      <x:c r="D54" s="10" t="str">
        <x:v>P1</x:v>
      </x:c>
      <x:c r="E54" s="10" t="str">
        <x:v>G1</x:v>
      </x:c>
      <x:c r="F54" s="10" t="str">
        <x:v>WS-A, WS-C</x:v>
      </x:c>
      <x:c r="G54" s="10" t="str">
        <x:v>verification</x:v>
      </x:c>
      <x:c r="H54" s="10" t="str">
        <x:v>Finding: which init mode to use; startup-order requirement for the operator checklist.</x:v>
      </x:c>
      <x:c r="I54" s="10" t="str">
        <x:v>P1.4.S001</x:v>
      </x:c>
      <x:c r="J54" s="10" t="str"/>
      <x:c r="K54" s="10" t="str">
        <x:v>Acceptance criteria and required evidence are satisfied and recorded.</x:v>
      </x:c>
      <x:c r="L54" s="10" t="str">
        <x:v>Acceptance criteria and required evidence are satisfied and recorded.</x:v>
      </x:c>
      <x:c r="M54" s="10" t="str">
        <x:v>docs/spikes.md</x:v>
      </x:c>
      <x:c r="N54" s="10" t="str">
        <x:v>not_started</x:v>
      </x:c>
      <x:c r="O54" s="10" t="str">
        <x:v>Developer</x:v>
      </x:c>
      <x:c r="P54" s="10" t="str">
        <x:v>agent</x:v>
      </x:c>
      <x:c r="Q54" s="10" t="str">
        <x:v>p1/P1.4-spike-openvr-init-from-unity-without-xr</x:v>
      </x:c>
      <x:c r="R54" s="35" t="str"/>
      <x:c r="S54" s="35" t="str"/>
      <x:c r="T54" s="10" t="str"/>
      <x:c r="U54" s="10" t="str"/>
      <x:c r="V54" s="10" t="str">
        <x:v>ELTS Build Plan P1.4</x:v>
      </x:c>
    </x:row>
    <x:row r="55">
      <x:c r="A55" s="34" t="n">
        <x:v>50</x:v>
      </x:c>
      <x:c r="B55" s="34" t="str">
        <x:v>P1.4.V001</x:v>
      </x:c>
      <x:c r="C55" s="34" t="str">
        <x:v>P1.4</x:v>
      </x:c>
      <x:c r="D55" s="34" t="str">
        <x:v>P1</x:v>
      </x:c>
      <x:c r="E55" s="34" t="str">
        <x:v>G1</x:v>
      </x:c>
      <x:c r="F55" s="34" t="str">
        <x:v>WS-A, WS-C</x:v>
      </x:c>
      <x:c r="G55" s="34" t="str">
        <x:v>verification</x:v>
      </x:c>
      <x:c r="H55" s="34" t="str">
        <x:v>Verify P1.4 against its completion criteria and attach evidence.</x:v>
      </x:c>
      <x:c r="I55" s="34" t="str">
        <x:v>P1.4.S002</x:v>
      </x:c>
      <x:c r="J55" s="34" t="str"/>
      <x:c r="K55" s="34" t="str">
        <x:v>Acceptance criteria and required evidence are satisfied and recorded.</x:v>
      </x:c>
      <x:c r="L55" s="34" t="str">
        <x:v>Acceptance criteria and required evidence are satisfied and recorded.</x:v>
      </x:c>
      <x:c r="M55" s="34" t="str">
        <x:v>docs/spikes.md</x:v>
      </x:c>
      <x:c r="N55" s="34" t="str">
        <x:v>not_started</x:v>
      </x:c>
      <x:c r="O55" s="34" t="str">
        <x:v>Developer</x:v>
      </x:c>
      <x:c r="P55" s="34" t="str">
        <x:v>automated_check</x:v>
      </x:c>
      <x:c r="Q55" s="34" t="str">
        <x:v>p1/P1.4-spike-openvr-init-from-unity-without-xr</x:v>
      </x:c>
      <x:c r="R55" s="36" t="str"/>
      <x:c r="S55" s="36" t="str"/>
      <x:c r="T55" s="34" t="str"/>
      <x:c r="U55" s="34" t="str"/>
      <x:c r="V55" s="34" t="str">
        <x:v>ELTS Build Plan P1.4</x:v>
      </x:c>
    </x:row>
    <x:row r="56">
      <x:c r="A56" s="10" t="n">
        <x:v>51</x:v>
      </x:c>
      <x:c r="B56" s="10" t="str">
        <x:v>P1.5.S001</x:v>
      </x:c>
      <x:c r="C56" s="10" t="str">
        <x:v>P1.5</x:v>
      </x:c>
      <x:c r="D56" s="10" t="str">
        <x:v>P1</x:v>
      </x:c>
      <x:c r="E56" s="10" t="str">
        <x:v>G1</x:v>
      </x:c>
      <x:c r="F56" s="10" t="str">
        <x:v>WS-A, WS-C</x:v>
      </x:c>
      <x:c r="G56" s="10" t="str">
        <x:v>verification</x:v>
      </x:c>
      <x:c r="H56" s="10" t="str">
        <x:v>Enumerate devices, read Prop_SerialNumber_String, match to config. Restart SteamVR three times, and swap which tracker is powered on first; confirm the binding is correct every time. Handle VREvent_TrackedDeviceActivated / Deactivated so a tracker that drops and reconnects re-binds.</x:v>
      </x:c>
      <x:c r="I56" s="10" t="str">
        <x:v>P1.3, P1.4</x:v>
      </x:c>
      <x:c r="J56" s="10" t="str"/>
      <x:c r="K56" s="10" t="str">
        <x:v>Change or evidence attributable to P1.5.S001</x:v>
      </x:c>
      <x:c r="L56" s="10" t="str">
        <x:v>Review the changed artifact and run the nearest relevant automated or lab check.</x:v>
      </x:c>
      <x:c r="M56" s="10" t="str">
        <x:v>docs/spikes.md</x:v>
      </x:c>
      <x:c r="N56" s="10" t="str">
        <x:v>not_started</x:v>
      </x:c>
      <x:c r="O56" s="10" t="str">
        <x:v>Developer</x:v>
      </x:c>
      <x:c r="P56" s="10" t="str">
        <x:v>agent</x:v>
      </x:c>
      <x:c r="Q56" s="10" t="str">
        <x:v>p1/P1.5-spike-serial-number-binding</x:v>
      </x:c>
      <x:c r="R56" s="35" t="str"/>
      <x:c r="S56" s="35" t="str"/>
      <x:c r="T56" s="10" t="str"/>
      <x:c r="U56" s="10" t="str"/>
      <x:c r="V56" s="10" t="str">
        <x:v>ELTS Build Plan P1.5</x:v>
      </x:c>
    </x:row>
    <x:row r="57">
      <x:c r="A57" s="34" t="n">
        <x:v>52</x:v>
      </x:c>
      <x:c r="B57" s="34" t="str">
        <x:v>P1.5.S002</x:v>
      </x:c>
      <x:c r="C57" s="34" t="str">
        <x:v>P1.5</x:v>
      </x:c>
      <x:c r="D57" s="34" t="str">
        <x:v>P1</x:v>
      </x:c>
      <x:c r="E57" s="34" t="str">
        <x:v>G1</x:v>
      </x:c>
      <x:c r="F57" s="34" t="str">
        <x:v>WS-A, WS-C</x:v>
      </x:c>
      <x:c r="G57" s="34" t="str">
        <x:v>execution</x:v>
      </x:c>
      <x:c r="H57" s="34" t="str">
        <x:v>Finding: binding is stable across restarts and reordering.</x:v>
      </x:c>
      <x:c r="I57" s="34" t="str">
        <x:v>P1.5.S001</x:v>
      </x:c>
      <x:c r="J57" s="34" t="str"/>
      <x:c r="K57" s="34" t="str">
        <x:v>Acceptance criteria and required evidence are satisfied and recorded.</x:v>
      </x:c>
      <x:c r="L57" s="34" t="str">
        <x:v>Acceptance criteria and required evidence are satisfied and recorded.</x:v>
      </x:c>
      <x:c r="M57" s="34" t="str">
        <x:v>docs/spikes.md</x:v>
      </x:c>
      <x:c r="N57" s="34" t="str">
        <x:v>not_started</x:v>
      </x:c>
      <x:c r="O57" s="34" t="str">
        <x:v>Developer</x:v>
      </x:c>
      <x:c r="P57" s="34" t="str">
        <x:v>agent</x:v>
      </x:c>
      <x:c r="Q57" s="34" t="str">
        <x:v>p1/P1.5-spike-serial-number-binding</x:v>
      </x:c>
      <x:c r="R57" s="36" t="str"/>
      <x:c r="S57" s="36" t="str"/>
      <x:c r="T57" s="34" t="str"/>
      <x:c r="U57" s="34" t="str"/>
      <x:c r="V57" s="34" t="str">
        <x:v>ELTS Build Plan P1.5</x:v>
      </x:c>
    </x:row>
    <x:row r="58">
      <x:c r="A58" s="10" t="n">
        <x:v>53</x:v>
      </x:c>
      <x:c r="B58" s="10" t="str">
        <x:v>P1.5.V001</x:v>
      </x:c>
      <x:c r="C58" s="10" t="str">
        <x:v>P1.5</x:v>
      </x:c>
      <x:c r="D58" s="10" t="str">
        <x:v>P1</x:v>
      </x:c>
      <x:c r="E58" s="10" t="str">
        <x:v>G1</x:v>
      </x:c>
      <x:c r="F58" s="10" t="str">
        <x:v>WS-A, WS-C</x:v>
      </x:c>
      <x:c r="G58" s="10" t="str">
        <x:v>verification</x:v>
      </x:c>
      <x:c r="H58" s="10" t="str">
        <x:v>Verify P1.5 against its completion criteria and attach evidence.</x:v>
      </x:c>
      <x:c r="I58" s="10" t="str">
        <x:v>P1.5.S002</x:v>
      </x:c>
      <x:c r="J58" s="10" t="str"/>
      <x:c r="K58" s="10" t="str">
        <x:v>Acceptance criteria and required evidence are satisfied and recorded.</x:v>
      </x:c>
      <x:c r="L58" s="10" t="str">
        <x:v>Acceptance criteria and required evidence are satisfied and recorded.</x:v>
      </x:c>
      <x:c r="M58" s="10" t="str">
        <x:v>docs/spikes.md</x:v>
      </x:c>
      <x:c r="N58" s="10" t="str">
        <x:v>not_started</x:v>
      </x:c>
      <x:c r="O58" s="10" t="str">
        <x:v>Developer</x:v>
      </x:c>
      <x:c r="P58" s="10" t="str">
        <x:v>automated_check</x:v>
      </x:c>
      <x:c r="Q58" s="10" t="str">
        <x:v>p1/P1.5-spike-serial-number-binding</x:v>
      </x:c>
      <x:c r="R58" s="35" t="str"/>
      <x:c r="S58" s="35" t="str"/>
      <x:c r="T58" s="10" t="str"/>
      <x:c r="U58" s="10" t="str"/>
      <x:c r="V58" s="10" t="str">
        <x:v>ELTS Build Plan P1.5</x:v>
      </x:c>
    </x:row>
    <x:row r="59">
      <x:c r="A59" s="34" t="n">
        <x:v>54</x:v>
      </x:c>
      <x:c r="B59" s="34" t="str">
        <x:v>P1.6.S001</x:v>
      </x:c>
      <x:c r="C59" s="34" t="str">
        <x:v>P1.6</x:v>
      </x:c>
      <x:c r="D59" s="34" t="str">
        <x:v>P1</x:v>
      </x:c>
      <x:c r="E59" s="34" t="str">
        <x:v>G1</x:v>
      </x:c>
      <x:c r="F59" s="34" t="str">
        <x:v>WS-A, WS-C</x:v>
      </x:c>
      <x:c r="G59" s="34" t="str">
        <x:v>verification</x:v>
      </x:c>
      <x:c r="H59" s="34" t="str">
        <x:v>Call GetDeviceToAbsoluteTrackingPose with 0.0 s prediction on a background thread with a high-resolution timer loop. Measure achieved rate and jitter over 60 s. Confirm bPoseIsValid, bDeviceIsConnected, and eTrackingResult change as expected when a tracker is covered.</x:v>
      </x:c>
      <x:c r="I59" s="34" t="str">
        <x:v>P1.4</x:v>
      </x:c>
      <x:c r="J59" s="34" t="str"/>
      <x:c r="K59" s="34" t="str">
        <x:v>Change or evidence attributable to P1.6.S001</x:v>
      </x:c>
      <x:c r="L59" s="34" t="str">
        <x:v>Review the changed artifact and run the nearest relevant automated or lab check.</x:v>
      </x:c>
      <x:c r="M59" s="34" t="str">
        <x:v>docs/spikes.md and rate/jitter output</x:v>
      </x:c>
      <x:c r="N59" s="34" t="str">
        <x:v>not_started</x:v>
      </x:c>
      <x:c r="O59" s="34" t="str">
        <x:v>Developer</x:v>
      </x:c>
      <x:c r="P59" s="34" t="str">
        <x:v>agent</x:v>
      </x:c>
      <x:c r="Q59" s="34" t="str">
        <x:v>p1/P1.6-spike-pose-polling-at-250-hz-from-a-dedicated</x:v>
      </x:c>
      <x:c r="R59" s="36" t="str"/>
      <x:c r="S59" s="36" t="str"/>
      <x:c r="T59" s="34" t="str"/>
      <x:c r="U59" s="34" t="str"/>
      <x:c r="V59" s="34" t="str">
        <x:v>ELTS Build Plan P1.6</x:v>
      </x:c>
    </x:row>
    <x:row r="60">
      <x:c r="A60" s="10" t="n">
        <x:v>55</x:v>
      </x:c>
      <x:c r="B60" s="10" t="str">
        <x:v>P1.6.S002</x:v>
      </x:c>
      <x:c r="C60" s="10" t="str">
        <x:v>P1.6</x:v>
      </x:c>
      <x:c r="D60" s="10" t="str">
        <x:v>P1</x:v>
      </x:c>
      <x:c r="E60" s="10" t="str">
        <x:v>G1</x:v>
      </x:c>
      <x:c r="F60" s="10" t="str">
        <x:v>WS-A, WS-C</x:v>
      </x:c>
      <x:c r="G60" s="10" t="str">
        <x:v>execution</x:v>
      </x:c>
      <x:c r="H60" s="10" t="str">
        <x:v>Finding: achieved sample rate; whether cross-thread OpenVR calls behave; timer strategy that holds 250 Hz on Windows.</x:v>
      </x:c>
      <x:c r="I60" s="10" t="str">
        <x:v>P1.6.S001</x:v>
      </x:c>
      <x:c r="J60" s="10" t="str"/>
      <x:c r="K60" s="10" t="str">
        <x:v>Acceptance criteria and required evidence are satisfied and recorded.</x:v>
      </x:c>
      <x:c r="L60" s="10" t="str">
        <x:v>Acceptance criteria and required evidence are satisfied and recorded.</x:v>
      </x:c>
      <x:c r="M60" s="10" t="str">
        <x:v>docs/spikes.md and rate/jitter output</x:v>
      </x:c>
      <x:c r="N60" s="10" t="str">
        <x:v>not_started</x:v>
      </x:c>
      <x:c r="O60" s="10" t="str">
        <x:v>Developer</x:v>
      </x:c>
      <x:c r="P60" s="10" t="str">
        <x:v>agent</x:v>
      </x:c>
      <x:c r="Q60" s="10" t="str">
        <x:v>p1/P1.6-spike-pose-polling-at-250-hz-from-a-dedicated</x:v>
      </x:c>
      <x:c r="R60" s="35" t="str"/>
      <x:c r="S60" s="35" t="str"/>
      <x:c r="T60" s="10" t="str"/>
      <x:c r="U60" s="10" t="str"/>
      <x:c r="V60" s="10" t="str">
        <x:v>ELTS Build Plan P1.6</x:v>
      </x:c>
    </x:row>
    <x:row r="61">
      <x:c r="A61" s="34" t="n">
        <x:v>56</x:v>
      </x:c>
      <x:c r="B61" s="34" t="str">
        <x:v>P1.6.V001</x:v>
      </x:c>
      <x:c r="C61" s="34" t="str">
        <x:v>P1.6</x:v>
      </x:c>
      <x:c r="D61" s="34" t="str">
        <x:v>P1</x:v>
      </x:c>
      <x:c r="E61" s="34" t="str">
        <x:v>G1</x:v>
      </x:c>
      <x:c r="F61" s="34" t="str">
        <x:v>WS-A, WS-C</x:v>
      </x:c>
      <x:c r="G61" s="34" t="str">
        <x:v>verification</x:v>
      </x:c>
      <x:c r="H61" s="34" t="str">
        <x:v>Verify P1.6 against its completion criteria and attach evidence.</x:v>
      </x:c>
      <x:c r="I61" s="34" t="str">
        <x:v>P1.6.S002</x:v>
      </x:c>
      <x:c r="J61" s="34" t="str"/>
      <x:c r="K61" s="34" t="str">
        <x:v>Acceptance criteria and required evidence are satisfied and recorded.</x:v>
      </x:c>
      <x:c r="L61" s="34" t="str">
        <x:v>Acceptance criteria and required evidence are satisfied and recorded.</x:v>
      </x:c>
      <x:c r="M61" s="34" t="str">
        <x:v>docs/spikes.md and rate/jitter output</x:v>
      </x:c>
      <x:c r="N61" s="34" t="str">
        <x:v>not_started</x:v>
      </x:c>
      <x:c r="O61" s="34" t="str">
        <x:v>Developer</x:v>
      </x:c>
      <x:c r="P61" s="34" t="str">
        <x:v>automated_check</x:v>
      </x:c>
      <x:c r="Q61" s="34" t="str">
        <x:v>p1/P1.6-spike-pose-polling-at-250-hz-from-a-dedicated</x:v>
      </x:c>
      <x:c r="R61" s="36" t="str"/>
      <x:c r="S61" s="36" t="str"/>
      <x:c r="T61" s="34" t="str"/>
      <x:c r="U61" s="34" t="str"/>
      <x:c r="V61" s="34" t="str">
        <x:v>ELTS Build Plan P1.6</x:v>
      </x:c>
    </x:row>
    <x:row r="62">
      <x:c r="A62" s="10" t="n">
        <x:v>57</x:v>
      </x:c>
      <x:c r="B62" s="10" t="str">
        <x:v>P1.7.S001</x:v>
      </x:c>
      <x:c r="C62" s="10" t="str">
        <x:v>P1.7</x:v>
      </x:c>
      <x:c r="D62" s="10" t="str">
        <x:v>P1</x:v>
      </x:c>
      <x:c r="E62" s="10" t="str">
        <x:v>G1</x:v>
      </x:c>
      <x:c r="F62" s="10" t="str">
        <x:v>WS-A, WS-C</x:v>
      </x:c>
      <x:c r="G62" s="10" t="str">
        <x:v>verification</x:v>
      </x:c>
      <x:c r="H62" s="10" t="str">
        <x:v>Read poses in TrackingUniverseRawAndUncalibrated. Place a tracker on a fixed jig, record its position, restart SteamVR (and reboot the PC once), record again. Confirm the universe origin does not move when the base station does not move. Also confirm that the base station itself is enumerated as a tracked device (TrackedDeviceClass_TrackingReference) with a readable pose — the operator view will draw it from this rather than from config.</x:v>
      </x:c>
      <x:c r="I62" s="10" t="str">
        <x:v>P1.4</x:v>
      </x:c>
      <x:c r="J62" s="10" t="str"/>
      <x:c r="K62" s="10" t="str">
        <x:v>Change or evidence attributable to P1.7.S001</x:v>
      </x:c>
      <x:c r="L62" s="10" t="str">
        <x:v>Review the changed artifact and run the nearest relevant automated or lab check.</x:v>
      </x:c>
      <x:c r="M62" s="10" t="str">
        <x:v>docs/spikes.md</x:v>
      </x:c>
      <x:c r="N62" s="10" t="str">
        <x:v>not_started</x:v>
      </x:c>
      <x:c r="O62" s="10" t="str">
        <x:v>Developer</x:v>
      </x:c>
      <x:c r="P62" s="10" t="str">
        <x:v>agent</x:v>
      </x:c>
      <x:c r="Q62" s="10" t="str">
        <x:v>p1/P1.7-spike-tracking-universe-stability</x:v>
      </x:c>
      <x:c r="R62" s="35" t="str"/>
      <x:c r="S62" s="35" t="str"/>
      <x:c r="T62" s="10" t="str"/>
      <x:c r="U62" s="10" t="str"/>
      <x:c r="V62" s="10" t="str">
        <x:v>ELTS Build Plan P1.7</x:v>
      </x:c>
    </x:row>
    <x:row r="63">
      <x:c r="A63" s="34" t="n">
        <x:v>58</x:v>
      </x:c>
      <x:c r="B63" s="34" t="str">
        <x:v>P1.7.S002</x:v>
      </x:c>
      <x:c r="C63" s="34" t="str">
        <x:v>P1.7</x:v>
      </x:c>
      <x:c r="D63" s="34" t="str">
        <x:v>P1</x:v>
      </x:c>
      <x:c r="E63" s="34" t="str">
        <x:v>G1</x:v>
      </x:c>
      <x:c r="F63" s="34" t="str">
        <x:v>WS-A, WS-C</x:v>
      </x:c>
      <x:c r="G63" s="34" t="str">
        <x:v>execution</x:v>
      </x:c>
      <x:c r="H63" s="34" t="str">
        <x:v>Finding: which universe origin to use (expected: RawAndUncalibrated, which anchors to the base station without needing a room setup); base station pose readable.</x:v>
      </x:c>
      <x:c r="I63" s="34" t="str">
        <x:v>P1.7.S001</x:v>
      </x:c>
      <x:c r="J63" s="34" t="str"/>
      <x:c r="K63" s="34" t="str">
        <x:v>Acceptance criteria and required evidence are satisfied and recorded.</x:v>
      </x:c>
      <x:c r="L63" s="34" t="str">
        <x:v>Acceptance criteria and required evidence are satisfied and recorded.</x:v>
      </x:c>
      <x:c r="M63" s="34" t="str">
        <x:v>docs/spikes.md</x:v>
      </x:c>
      <x:c r="N63" s="34" t="str">
        <x:v>not_started</x:v>
      </x:c>
      <x:c r="O63" s="34" t="str">
        <x:v>Developer</x:v>
      </x:c>
      <x:c r="P63" s="34" t="str">
        <x:v>agent</x:v>
      </x:c>
      <x:c r="Q63" s="34" t="str">
        <x:v>p1/P1.7-spike-tracking-universe-stability</x:v>
      </x:c>
      <x:c r="R63" s="36" t="str"/>
      <x:c r="S63" s="36" t="str"/>
      <x:c r="T63" s="34" t="str"/>
      <x:c r="U63" s="34" t="str"/>
      <x:c r="V63" s="34" t="str">
        <x:v>ELTS Build Plan P1.7</x:v>
      </x:c>
    </x:row>
    <x:row r="64">
      <x:c r="A64" s="10" t="n">
        <x:v>59</x:v>
      </x:c>
      <x:c r="B64" s="10" t="str">
        <x:v>P1.7.V001</x:v>
      </x:c>
      <x:c r="C64" s="10" t="str">
        <x:v>P1.7</x:v>
      </x:c>
      <x:c r="D64" s="10" t="str">
        <x:v>P1</x:v>
      </x:c>
      <x:c r="E64" s="10" t="str">
        <x:v>G1</x:v>
      </x:c>
      <x:c r="F64" s="10" t="str">
        <x:v>WS-A, WS-C</x:v>
      </x:c>
      <x:c r="G64" s="10" t="str">
        <x:v>verification</x:v>
      </x:c>
      <x:c r="H64" s="10" t="str">
        <x:v>Verify P1.7 against its completion criteria and attach evidence.</x:v>
      </x:c>
      <x:c r="I64" s="10" t="str">
        <x:v>P1.7.S002</x:v>
      </x:c>
      <x:c r="J64" s="10" t="str"/>
      <x:c r="K64" s="10" t="str">
        <x:v>Acceptance criteria and required evidence are satisfied and recorded.</x:v>
      </x:c>
      <x:c r="L64" s="10" t="str">
        <x:v>Acceptance criteria and required evidence are satisfied and recorded.</x:v>
      </x:c>
      <x:c r="M64" s="10" t="str">
        <x:v>docs/spikes.md</x:v>
      </x:c>
      <x:c r="N64" s="10" t="str">
        <x:v>not_started</x:v>
      </x:c>
      <x:c r="O64" s="10" t="str">
        <x:v>Developer</x:v>
      </x:c>
      <x:c r="P64" s="10" t="str">
        <x:v>automated_check</x:v>
      </x:c>
      <x:c r="Q64" s="10" t="str">
        <x:v>p1/P1.7-spike-tracking-universe-stability</x:v>
      </x:c>
      <x:c r="R64" s="35" t="str"/>
      <x:c r="S64" s="35" t="str"/>
      <x:c r="T64" s="10" t="str"/>
      <x:c r="U64" s="10" t="str"/>
      <x:c r="V64" s="10" t="str">
        <x:v>ELTS Build Plan P1.7</x:v>
      </x:c>
    </x:row>
    <x:row r="65">
      <x:c r="A65" s="34" t="n">
        <x:v>60</x:v>
      </x:c>
      <x:c r="B65" s="34" t="str">
        <x:v>P1.8.S001</x:v>
      </x:c>
      <x:c r="C65" s="34" t="str">
        <x:v>P1.8</x:v>
      </x:c>
      <x:c r="D65" s="34" t="str">
        <x:v>P1</x:v>
      </x:c>
      <x:c r="E65" s="34" t="str">
        <x:v>G1</x:v>
      </x:c>
      <x:c r="F65" s="34" t="str">
        <x:v>WS-A, WS-C</x:v>
      </x:c>
      <x:c r="G65" s="34" t="str">
        <x:v>verification</x:v>
      </x:c>
      <x:c r="H65" s="34" t="str">
        <x:v>With a temporary microswitch wired between pogo pins 4 and 2 on the WEAPON tracker (Appendix I for the pinout), poll GetControllerStateWithPose on the same thread and at the same instant as the pose. Confirm the trigger button bit toggles. Confirm it reads false if the tracker role is reverted to generic (this is the failure mode to document). Also test reading the press as a VREvent_ButtonPress event with eventAgeSeconds and note whether it offers finer timing than 4 ms polling.</x:v>
      </x:c>
      <x:c r="I65" s="34" t="str">
        <x:v>P1.3, P1.4</x:v>
      </x:c>
      <x:c r="J65" s="34" t="str"/>
      <x:c r="K65" s="34" t="str">
        <x:v>Change or evidence attributable to P1.8.S001</x:v>
      </x:c>
      <x:c r="L65" s="34" t="str">
        <x:v>Review the changed artifact and run the nearest relevant automated or lab check.</x:v>
      </x:c>
      <x:c r="M65" s="34" t="str">
        <x:v>docs/spikes.md</x:v>
      </x:c>
      <x:c r="N65" s="34" t="str">
        <x:v>not_started</x:v>
      </x:c>
      <x:c r="O65" s="34" t="str">
        <x:v>Developer</x:v>
      </x:c>
      <x:c r="P65" s="34" t="str">
        <x:v>lab_hardware</x:v>
      </x:c>
      <x:c r="Q65" s="34" t="str">
        <x:v>p1/P1.8-spike-pogo-pin-trigger</x:v>
      </x:c>
      <x:c r="R65" s="36" t="str"/>
      <x:c r="S65" s="36" t="str"/>
      <x:c r="T65" s="34" t="str"/>
      <x:c r="U65" s="34" t="str"/>
      <x:c r="V65" s="34" t="str">
        <x:v>ELTS Build Plan P1.8</x:v>
      </x:c>
    </x:row>
    <x:row r="66">
      <x:c r="A66" s="10" t="n">
        <x:v>61</x:v>
      </x:c>
      <x:c r="B66" s="10" t="str">
        <x:v>P1.8.S002</x:v>
      </x:c>
      <x:c r="C66" s="10" t="str">
        <x:v>P1.8</x:v>
      </x:c>
      <x:c r="D66" s="10" t="str">
        <x:v>P1</x:v>
      </x:c>
      <x:c r="E66" s="10" t="str">
        <x:v>G1</x:v>
      </x:c>
      <x:c r="F66" s="10" t="str">
        <x:v>WS-A, WS-C</x:v>
      </x:c>
      <x:c r="G66" s="10" t="str">
        <x:v>verification</x:v>
      </x:c>
      <x:c r="H66" s="10" t="str">
        <x:v>Finding: trigger reads in background mode; polling vs. event timing; confirmed pin mapping.</x:v>
      </x:c>
      <x:c r="I66" s="10" t="str">
        <x:v>P1.8.S001</x:v>
      </x:c>
      <x:c r="J66" s="10" t="str"/>
      <x:c r="K66" s="10" t="str">
        <x:v>Acceptance criteria and required evidence are satisfied and recorded.</x:v>
      </x:c>
      <x:c r="L66" s="10" t="str">
        <x:v>Acceptance criteria and required evidence are satisfied and recorded.</x:v>
      </x:c>
      <x:c r="M66" s="10" t="str">
        <x:v>docs/spikes.md</x:v>
      </x:c>
      <x:c r="N66" s="10" t="str">
        <x:v>not_started</x:v>
      </x:c>
      <x:c r="O66" s="10" t="str">
        <x:v>Developer</x:v>
      </x:c>
      <x:c r="P66" s="10" t="str">
        <x:v>lab_hardware</x:v>
      </x:c>
      <x:c r="Q66" s="10" t="str">
        <x:v>p1/P1.8-spike-pogo-pin-trigger</x:v>
      </x:c>
      <x:c r="R66" s="35" t="str"/>
      <x:c r="S66" s="35" t="str"/>
      <x:c r="T66" s="10" t="str"/>
      <x:c r="U66" s="10" t="str"/>
      <x:c r="V66" s="10" t="str">
        <x:v>ELTS Build Plan P1.8</x:v>
      </x:c>
    </x:row>
    <x:row r="67">
      <x:c r="A67" s="34" t="n">
        <x:v>62</x:v>
      </x:c>
      <x:c r="B67" s="34" t="str">
        <x:v>P1.8.V001</x:v>
      </x:c>
      <x:c r="C67" s="34" t="str">
        <x:v>P1.8</x:v>
      </x:c>
      <x:c r="D67" s="34" t="str">
        <x:v>P1</x:v>
      </x:c>
      <x:c r="E67" s="34" t="str">
        <x:v>G1</x:v>
      </x:c>
      <x:c r="F67" s="34" t="str">
        <x:v>WS-A, WS-C</x:v>
      </x:c>
      <x:c r="G67" s="34" t="str">
        <x:v>verification</x:v>
      </x:c>
      <x:c r="H67" s="34" t="str">
        <x:v>Verify P1.8 against its completion criteria and attach evidence.</x:v>
      </x:c>
      <x:c r="I67" s="34" t="str">
        <x:v>P1.8.S002</x:v>
      </x:c>
      <x:c r="J67" s="34" t="str"/>
      <x:c r="K67" s="34" t="str">
        <x:v>Acceptance criteria and required evidence are satisfied and recorded.</x:v>
      </x:c>
      <x:c r="L67" s="34" t="str">
        <x:v>Acceptance criteria and required evidence are satisfied and recorded.</x:v>
      </x:c>
      <x:c r="M67" s="34" t="str">
        <x:v>docs/spikes.md</x:v>
      </x:c>
      <x:c r="N67" s="34" t="str">
        <x:v>not_started</x:v>
      </x:c>
      <x:c r="O67" s="34" t="str">
        <x:v>Developer</x:v>
      </x:c>
      <x:c r="P67" s="34" t="str">
        <x:v>lab_hardware</x:v>
      </x:c>
      <x:c r="Q67" s="34" t="str">
        <x:v>p1/P1.8-spike-pogo-pin-trigger</x:v>
      </x:c>
      <x:c r="R67" s="36" t="str"/>
      <x:c r="S67" s="36" t="str"/>
      <x:c r="T67" s="34" t="str"/>
      <x:c r="U67" s="34" t="str"/>
      <x:c r="V67" s="34" t="str">
        <x:v>ELTS Build Plan P1.8</x:v>
      </x:c>
    </x:row>
    <x:row r="68">
      <x:c r="A68" s="10" t="n">
        <x:v>63</x:v>
      </x:c>
      <x:c r="B68" s="10" t="str">
        <x:v>P1.9.S001</x:v>
      </x:c>
      <x:c r="C68" s="10" t="str">
        <x:v>P1.9</x:v>
      </x:c>
      <x:c r="D68" s="10" t="str">
        <x:v>P1</x:v>
      </x:c>
      <x:c r="E68" s="10" t="str">
        <x:v>G1</x:v>
      </x:c>
      <x:c r="F68" s="10" t="str">
        <x:v>WS-A, WS-C</x:v>
      </x:c>
      <x:c r="G68" s="10" t="str">
        <x:v>verification</x:v>
      </x:c>
      <x:c r="H68" s="10" t="str">
        <x:v>Implement the OpenVR→Unity conversion in Appendix F.1. Physically rotate a tracker about each axis in a known direction and confirm the Unity gizmo rotates the same way. Translate it by a measured 500 mm and confirm the Unity delta is 0.500 m in the right direction.</x:v>
      </x:c>
      <x:c r="I68" s="10" t="str">
        <x:v>P1.4</x:v>
      </x:c>
      <x:c r="J68" s="10" t="str"/>
      <x:c r="K68" s="10" t="str">
        <x:v>Change or evidence attributable to P1.9.S001</x:v>
      </x:c>
      <x:c r="L68" s="10" t="str">
        <x:v>Review the changed artifact and run the nearest relevant automated or lab check.</x:v>
      </x:c>
      <x:c r="M68" s="10" t="str">
        <x:v>docs/spikes.md</x:v>
      </x:c>
      <x:c r="N68" s="10" t="str">
        <x:v>not_started</x:v>
      </x:c>
      <x:c r="O68" s="10" t="str">
        <x:v>Developer</x:v>
      </x:c>
      <x:c r="P68" s="10" t="str">
        <x:v>lab_hardware</x:v>
      </x:c>
      <x:c r="Q68" s="10" t="str">
        <x:v>p1/P1.9-spike-handedness-conversion</x:v>
      </x:c>
      <x:c r="R68" s="35" t="str"/>
      <x:c r="S68" s="35" t="str"/>
      <x:c r="T68" s="10" t="str"/>
      <x:c r="U68" s="10" t="str"/>
      <x:c r="V68" s="10" t="str">
        <x:v>ELTS Build Plan P1.9</x:v>
      </x:c>
    </x:row>
    <x:row r="69">
      <x:c r="A69" s="34" t="n">
        <x:v>64</x:v>
      </x:c>
      <x:c r="B69" s="34" t="str">
        <x:v>P1.9.S002</x:v>
      </x:c>
      <x:c r="C69" s="34" t="str">
        <x:v>P1.9</x:v>
      </x:c>
      <x:c r="D69" s="34" t="str">
        <x:v>P1</x:v>
      </x:c>
      <x:c r="E69" s="34" t="str">
        <x:v>G1</x:v>
      </x:c>
      <x:c r="F69" s="34" t="str">
        <x:v>WS-A, WS-C</x:v>
      </x:c>
      <x:c r="G69" s="34" t="str">
        <x:v>execution</x:v>
      </x:c>
      <x:c r="H69" s="34" t="str">
        <x:v>Finding: conversion verified; becomes the only conversion site in the codebase (§12.3).</x:v>
      </x:c>
      <x:c r="I69" s="34" t="str">
        <x:v>P1.9.S001</x:v>
      </x:c>
      <x:c r="J69" s="34" t="str"/>
      <x:c r="K69" s="34" t="str">
        <x:v>Acceptance criteria and required evidence are satisfied and recorded.</x:v>
      </x:c>
      <x:c r="L69" s="34" t="str">
        <x:v>Acceptance criteria and required evidence are satisfied and recorded.</x:v>
      </x:c>
      <x:c r="M69" s="34" t="str">
        <x:v>docs/spikes.md</x:v>
      </x:c>
      <x:c r="N69" s="34" t="str">
        <x:v>not_started</x:v>
      </x:c>
      <x:c r="O69" s="34" t="str">
        <x:v>Developer</x:v>
      </x:c>
      <x:c r="P69" s="34" t="str">
        <x:v>lab_hardware</x:v>
      </x:c>
      <x:c r="Q69" s="34" t="str">
        <x:v>p1/P1.9-spike-handedness-conversion</x:v>
      </x:c>
      <x:c r="R69" s="36" t="str"/>
      <x:c r="S69" s="36" t="str"/>
      <x:c r="T69" s="34" t="str"/>
      <x:c r="U69" s="34" t="str"/>
      <x:c r="V69" s="34" t="str">
        <x:v>ELTS Build Plan P1.9</x:v>
      </x:c>
    </x:row>
    <x:row r="70">
      <x:c r="A70" s="10" t="n">
        <x:v>65</x:v>
      </x:c>
      <x:c r="B70" s="10" t="str">
        <x:v>P1.9.V001</x:v>
      </x:c>
      <x:c r="C70" s="10" t="str">
        <x:v>P1.9</x:v>
      </x:c>
      <x:c r="D70" s="10" t="str">
        <x:v>P1</x:v>
      </x:c>
      <x:c r="E70" s="10" t="str">
        <x:v>G1</x:v>
      </x:c>
      <x:c r="F70" s="10" t="str">
        <x:v>WS-A, WS-C</x:v>
      </x:c>
      <x:c r="G70" s="10" t="str">
        <x:v>verification</x:v>
      </x:c>
      <x:c r="H70" s="10" t="str">
        <x:v>Verify P1.9 against its completion criteria and attach evidence.</x:v>
      </x:c>
      <x:c r="I70" s="10" t="str">
        <x:v>P1.9.S002</x:v>
      </x:c>
      <x:c r="J70" s="10" t="str"/>
      <x:c r="K70" s="10" t="str">
        <x:v>Acceptance criteria and required evidence are satisfied and recorded.</x:v>
      </x:c>
      <x:c r="L70" s="10" t="str">
        <x:v>Acceptance criteria and required evidence are satisfied and recorded.</x:v>
      </x:c>
      <x:c r="M70" s="10" t="str">
        <x:v>docs/spikes.md</x:v>
      </x:c>
      <x:c r="N70" s="10" t="str">
        <x:v>not_started</x:v>
      </x:c>
      <x:c r="O70" s="10" t="str">
        <x:v>Developer</x:v>
      </x:c>
      <x:c r="P70" s="10" t="str">
        <x:v>lab_hardware</x:v>
      </x:c>
      <x:c r="Q70" s="10" t="str">
        <x:v>p1/P1.9-spike-handedness-conversion</x:v>
      </x:c>
      <x:c r="R70" s="35" t="str"/>
      <x:c r="S70" s="35" t="str"/>
      <x:c r="T70" s="10" t="str"/>
      <x:c r="U70" s="10" t="str"/>
      <x:c r="V70" s="10" t="str">
        <x:v>ELTS Build Plan P1.9</x:v>
      </x:c>
    </x:row>
    <x:row r="71">
      <x:c r="A71" s="34" t="n">
        <x:v>66</x:v>
      </x:c>
      <x:c r="B71" s="34" t="str">
        <x:v>P1.10.S001</x:v>
      </x:c>
      <x:c r="C71" s="34" t="str">
        <x:v>P1.10</x:v>
      </x:c>
      <x:c r="D71" s="34" t="str">
        <x:v>P1</x:v>
      </x:c>
      <x:c r="E71" s="34" t="str">
        <x:v>G1</x:v>
      </x:c>
      <x:c r="F71" s="34" t="str">
        <x:v>WS-A, WS-C</x:v>
      </x:c>
      <x:c r="G71" s="34" t="str">
        <x:v>verification</x:v>
      </x:c>
      <x:c r="H71" s="34" t="str">
        <x:v>Standalone build with two cameras, targetDisplay 0 and 1, Display.displays[1].Activate(). Confirm each appears on the intended physical output and that the assignment survives a reboot. Test what happens when only one display is connected (the build must refuse to start a session, §12.4).</x:v>
      </x:c>
      <x:c r="I71" s="34" t="str">
        <x:v>P0.2</x:v>
      </x:c>
      <x:c r="J71" s="34" t="str"/>
      <x:c r="K71" s="34" t="str">
        <x:v>Change or evidence attributable to P1.10.S001</x:v>
      </x:c>
      <x:c r="L71" s="34" t="str">
        <x:v>Review the changed artifact and run the nearest relevant automated or lab check.</x:v>
      </x:c>
      <x:c r="M71" s="34" t="str">
        <x:v>docs/spikes.md</x:v>
      </x:c>
      <x:c r="N71" s="34" t="str">
        <x:v>not_started</x:v>
      </x:c>
      <x:c r="O71" s="34" t="str">
        <x:v>Developer</x:v>
      </x:c>
      <x:c r="P71" s="34" t="str">
        <x:v>lab_hardware</x:v>
      </x:c>
      <x:c r="Q71" s="34" t="str">
        <x:v>p1/P1.10-spike-multi-display</x:v>
      </x:c>
      <x:c r="R71" s="36" t="str"/>
      <x:c r="S71" s="36" t="str"/>
      <x:c r="T71" s="34" t="str"/>
      <x:c r="U71" s="34" t="str"/>
      <x:c r="V71" s="34" t="str">
        <x:v>ELTS Build Plan P1.10</x:v>
      </x:c>
    </x:row>
    <x:row r="72">
      <x:c r="A72" s="10" t="n">
        <x:v>67</x:v>
      </x:c>
      <x:c r="B72" s="10" t="str">
        <x:v>P1.10.S002</x:v>
      </x:c>
      <x:c r="C72" s="10" t="str">
        <x:v>P1.10</x:v>
      </x:c>
      <x:c r="D72" s="10" t="str">
        <x:v>P1</x:v>
      </x:c>
      <x:c r="E72" s="10" t="str">
        <x:v>G1</x:v>
      </x:c>
      <x:c r="F72" s="10" t="str">
        <x:v>WS-A, WS-C</x:v>
      </x:c>
      <x:c r="G72" s="10" t="str">
        <x:v>verification</x:v>
      </x:c>
      <x:c r="H72" s="10" t="str">
        <x:v>Finding: display indexing behavior on this PC; startup check design.</x:v>
      </x:c>
      <x:c r="I72" s="10" t="str">
        <x:v>P1.10.S001</x:v>
      </x:c>
      <x:c r="J72" s="10" t="str"/>
      <x:c r="K72" s="10" t="str">
        <x:v>Change or evidence attributable to P1.10.S002</x:v>
      </x:c>
      <x:c r="L72" s="10" t="str">
        <x:v>Review the changed artifact and run the nearest relevant automated or lab check.</x:v>
      </x:c>
      <x:c r="M72" s="10" t="str">
        <x:v>docs/spikes.md</x:v>
      </x:c>
      <x:c r="N72" s="10" t="str">
        <x:v>not_started</x:v>
      </x:c>
      <x:c r="O72" s="10" t="str">
        <x:v>Developer</x:v>
      </x:c>
      <x:c r="P72" s="10" t="str">
        <x:v>lab_hardware</x:v>
      </x:c>
      <x:c r="Q72" s="10" t="str">
        <x:v>p1/P1.10-spike-multi-display</x:v>
      </x:c>
      <x:c r="R72" s="35" t="str"/>
      <x:c r="S72" s="35" t="str"/>
      <x:c r="T72" s="10" t="str"/>
      <x:c r="U72" s="10" t="str"/>
      <x:c r="V72" s="10" t="str">
        <x:v>ELTS Build Plan P1.10</x:v>
      </x:c>
    </x:row>
    <x:row r="73">
      <x:c r="A73" s="34" t="n">
        <x:v>68</x:v>
      </x:c>
      <x:c r="B73" s="34" t="str">
        <x:v>P1.10.S003</x:v>
      </x:c>
      <x:c r="C73" s="34" t="str">
        <x:v>P1.10</x:v>
      </x:c>
      <x:c r="D73" s="34" t="str">
        <x:v>P1</x:v>
      </x:c>
      <x:c r="E73" s="34" t="str">
        <x:v>G1</x:v>
      </x:c>
      <x:c r="F73" s="34" t="str">
        <x:v>WS-A, WS-C</x:v>
      </x:c>
      <x:c r="G73" s="34" t="str">
        <x:v>implementation</x:v>
      </x:c>
      <x:c r="H73" s="34" t="str">
        <x:v>### Tasks — WS-B fabrication starts (details in §13)</x:v>
      </x:c>
      <x:c r="I73" s="34" t="str">
        <x:v>P1.10.S002</x:v>
      </x:c>
      <x:c r="J73" s="34" t="str"/>
      <x:c r="K73" s="34" t="str">
        <x:v>Acceptance criteria and required evidence are satisfied and recorded.</x:v>
      </x:c>
      <x:c r="L73" s="34" t="str">
        <x:v>Acceptance criteria and required evidence are satisfied and recorded.</x:v>
      </x:c>
      <x:c r="M73" s="34" t="str">
        <x:v>docs/spikes.md</x:v>
      </x:c>
      <x:c r="N73" s="34" t="str">
        <x:v>not_started</x:v>
      </x:c>
      <x:c r="O73" s="34" t="str">
        <x:v>Developer</x:v>
      </x:c>
      <x:c r="P73" s="34" t="str">
        <x:v>lab_hardware</x:v>
      </x:c>
      <x:c r="Q73" s="34" t="str">
        <x:v>p1/P1.10-spike-multi-display</x:v>
      </x:c>
      <x:c r="R73" s="36" t="str"/>
      <x:c r="S73" s="36" t="str"/>
      <x:c r="T73" s="34" t="str"/>
      <x:c r="U73" s="34" t="str"/>
      <x:c r="V73" s="34" t="str">
        <x:v>ELTS Build Plan P1.10</x:v>
      </x:c>
    </x:row>
    <x:row r="74">
      <x:c r="A74" s="10" t="n">
        <x:v>69</x:v>
      </x:c>
      <x:c r="B74" s="10" t="str">
        <x:v>P1.10.V001</x:v>
      </x:c>
      <x:c r="C74" s="10" t="str">
        <x:v>P1.10</x:v>
      </x:c>
      <x:c r="D74" s="10" t="str">
        <x:v>P1</x:v>
      </x:c>
      <x:c r="E74" s="10" t="str">
        <x:v>G1</x:v>
      </x:c>
      <x:c r="F74" s="10" t="str">
        <x:v>WS-A, WS-C</x:v>
      </x:c>
      <x:c r="G74" s="10" t="str">
        <x:v>verification</x:v>
      </x:c>
      <x:c r="H74" s="10" t="str">
        <x:v>Verify P1.10 against its completion criteria and attach evidence.</x:v>
      </x:c>
      <x:c r="I74" s="10" t="str">
        <x:v>P1.10.S003</x:v>
      </x:c>
      <x:c r="J74" s="10" t="str"/>
      <x:c r="K74" s="10" t="str">
        <x:v>Acceptance criteria and required evidence are satisfied and recorded.</x:v>
      </x:c>
      <x:c r="L74" s="10" t="str">
        <x:v>Acceptance criteria and required evidence are satisfied and recorded.</x:v>
      </x:c>
      <x:c r="M74" s="10" t="str">
        <x:v>docs/spikes.md</x:v>
      </x:c>
      <x:c r="N74" s="10" t="str">
        <x:v>not_started</x:v>
      </x:c>
      <x:c r="O74" s="10" t="str">
        <x:v>Developer</x:v>
      </x:c>
      <x:c r="P74" s="10" t="str">
        <x:v>lab_hardware</x:v>
      </x:c>
      <x:c r="Q74" s="10" t="str">
        <x:v>p1/P1.10-spike-multi-display</x:v>
      </x:c>
      <x:c r="R74" s="35" t="str"/>
      <x:c r="S74" s="35" t="str"/>
      <x:c r="T74" s="10" t="str"/>
      <x:c r="U74" s="10" t="str"/>
      <x:c r="V74" s="10" t="str">
        <x:v>ELTS Build Plan P1.10</x:v>
      </x:c>
    </x:row>
    <x:row r="75">
      <x:c r="A75" s="34" t="n">
        <x:v>70</x:v>
      </x:c>
      <x:c r="B75" s="34" t="str">
        <x:v>P1.11.S001</x:v>
      </x:c>
      <x:c r="C75" s="34" t="str">
        <x:v>P1.11</x:v>
      </x:c>
      <x:c r="D75" s="34" t="str">
        <x:v>P1</x:v>
      </x:c>
      <x:c r="E75" s="34" t="str">
        <x:v>G1</x:v>
      </x:c>
      <x:c r="F75" s="34" t="str">
        <x:v>WS-B</x:v>
      </x:c>
      <x:c r="G75" s="34" t="str">
        <x:v>execution</x:v>
      </x:c>
      <x:c r="H75" s="34" t="str">
        <x:v>Needed before ordering the platform.</x:v>
      </x:c>
      <x:c r="I75" s="34" t="str">
        <x:v>D-09</x:v>
      </x:c>
      <x:c r="J75" s="34" t="str">
        <x:v>D-09</x:v>
      </x:c>
      <x:c r="K75" s="34" t="str">
        <x:v>Acceptance criteria and required evidence are satisfied and recorded.</x:v>
      </x:c>
      <x:c r="L75" s="34" t="str">
        <x:v>Acceptance criteria and required evidence are satisfied and recorded.</x:v>
      </x:c>
      <x:c r="M75" s="34" t="str">
        <x:v>Code, documentation, test evidence, or lab evidence named in the task</x:v>
      </x:c>
      <x:c r="N75" s="34" t="str">
        <x:v>not_started</x:v>
      </x:c>
      <x:c r="O75" s="34" t="str">
        <x:v>Fabricator and investigator</x:v>
      </x:c>
      <x:c r="P75" s="34" t="str">
        <x:v>lab_hardware</x:v>
      </x:c>
      <x:c r="Q75" s="34" t="str">
        <x:v>p1/P1.11-decide-weapon-platform-and-sight-type-d-09</x:v>
      </x:c>
      <x:c r="R75" s="36" t="str"/>
      <x:c r="S75" s="36" t="str"/>
      <x:c r="T75" s="34" t="str"/>
      <x:c r="U75" s="34" t="str"/>
      <x:c r="V75" s="34" t="str">
        <x:v>ELTS Build Plan P1.11</x:v>
      </x:c>
    </x:row>
    <x:row r="76">
      <x:c r="A76" s="10" t="n">
        <x:v>71</x:v>
      </x:c>
      <x:c r="B76" s="10" t="str">
        <x:v>P1.11.V001</x:v>
      </x:c>
      <x:c r="C76" s="10" t="str">
        <x:v>P1.11</x:v>
      </x:c>
      <x:c r="D76" s="10" t="str">
        <x:v>P1</x:v>
      </x:c>
      <x:c r="E76" s="10" t="str">
        <x:v>G1</x:v>
      </x:c>
      <x:c r="F76" s="10" t="str">
        <x:v>WS-B</x:v>
      </x:c>
      <x:c r="G76" s="10" t="str">
        <x:v>verification</x:v>
      </x:c>
      <x:c r="H76" s="10" t="str">
        <x:v>Verify P1.11 against its completion criteria and attach evidence.</x:v>
      </x:c>
      <x:c r="I76" s="10" t="str">
        <x:v>P1.11.S001</x:v>
      </x:c>
      <x:c r="J76" s="10" t="str">
        <x:v>D-09</x:v>
      </x:c>
      <x:c r="K76" s="10" t="str">
        <x:v>Acceptance criteria and required evidence are satisfied and recorded.</x:v>
      </x:c>
      <x:c r="L76" s="10" t="str">
        <x:v>Acceptance criteria and required evidence are satisfied and recorded.</x:v>
      </x:c>
      <x:c r="M76" s="10" t="str">
        <x:v>Code, documentation, test evidence, or lab evidence named in the task</x:v>
      </x:c>
      <x:c r="N76" s="10" t="str">
        <x:v>not_started</x:v>
      </x:c>
      <x:c r="O76" s="10" t="str">
        <x:v>Fabricator and investigator</x:v>
      </x:c>
      <x:c r="P76" s="10" t="str">
        <x:v>lab_hardware</x:v>
      </x:c>
      <x:c r="Q76" s="10" t="str">
        <x:v>p1/P1.11-decide-weapon-platform-and-sight-type-d-09</x:v>
      </x:c>
      <x:c r="R76" s="35" t="str"/>
      <x:c r="S76" s="35" t="str"/>
      <x:c r="T76" s="10" t="str"/>
      <x:c r="U76" s="10" t="str"/>
      <x:c r="V76" s="10" t="str">
        <x:v>ELTS Build Plan P1.11</x:v>
      </x:c>
    </x:row>
    <x:row r="77">
      <x:c r="A77" s="34" t="n">
        <x:v>72</x:v>
      </x:c>
      <x:c r="B77" s="34" t="str">
        <x:v>P1.12.S001</x:v>
      </x:c>
      <x:c r="C77" s="34" t="str">
        <x:v>P1.12</x:v>
      </x:c>
      <x:c r="D77" s="34" t="str">
        <x:v>P1</x:v>
      </x:c>
      <x:c r="E77" s="34" t="str">
        <x:v>G1</x:v>
      </x:c>
      <x:c r="F77" s="34" t="str">
        <x:v>WS-B</x:v>
      </x:c>
      <x:c r="G77" s="34" t="str">
        <x:v>implementation</x:v>
      </x:c>
      <x:c r="H77" s="34" t="str">
        <x:v>Order/collect weapon platform, paint, microswitch, wire, pogo breakout, ballast</x:v>
      </x:c>
      <x:c r="I77" s="34" t="str">
        <x:v>P1.11</x:v>
      </x:c>
      <x:c r="J77" s="34" t="str"/>
      <x:c r="K77" s="34" t="str">
        <x:v>Acceptance criteria and required evidence are satisfied and recorded.</x:v>
      </x:c>
      <x:c r="L77" s="34" t="str">
        <x:v>Acceptance criteria and required evidence are satisfied and recorded.</x:v>
      </x:c>
      <x:c r="M77" s="34" t="str">
        <x:v>Code, documentation, test evidence, or lab evidence named in the task</x:v>
      </x:c>
      <x:c r="N77" s="34" t="str">
        <x:v>not_started</x:v>
      </x:c>
      <x:c r="O77" s="34" t="str">
        <x:v>Fabricator and investigator</x:v>
      </x:c>
      <x:c r="P77" s="34" t="str">
        <x:v>lab_hardware</x:v>
      </x:c>
      <x:c r="Q77" s="34" t="str">
        <x:v>p1/P1.12-order-collect-weapon-platform-paint-microswit</x:v>
      </x:c>
      <x:c r="R77" s="36" t="str"/>
      <x:c r="S77" s="36" t="str"/>
      <x:c r="T77" s="34" t="str"/>
      <x:c r="U77" s="34" t="str"/>
      <x:c r="V77" s="34" t="str">
        <x:v>ELTS Build Plan P1.12</x:v>
      </x:c>
    </x:row>
    <x:row r="78">
      <x:c r="A78" s="10" t="n">
        <x:v>73</x:v>
      </x:c>
      <x:c r="B78" s="10" t="str">
        <x:v>P1.12.V001</x:v>
      </x:c>
      <x:c r="C78" s="10" t="str">
        <x:v>P1.12</x:v>
      </x:c>
      <x:c r="D78" s="10" t="str">
        <x:v>P1</x:v>
      </x:c>
      <x:c r="E78" s="10" t="str">
        <x:v>G1</x:v>
      </x:c>
      <x:c r="F78" s="10" t="str">
        <x:v>WS-B</x:v>
      </x:c>
      <x:c r="G78" s="10" t="str">
        <x:v>verification</x:v>
      </x:c>
      <x:c r="H78" s="10" t="str">
        <x:v>Verify P1.12 against its completion criteria and attach evidence.</x:v>
      </x:c>
      <x:c r="I78" s="10" t="str">
        <x:v>P1.12.S001</x:v>
      </x:c>
      <x:c r="J78" s="10" t="str"/>
      <x:c r="K78" s="10" t="str">
        <x:v>Acceptance criteria and required evidence are satisfied and recorded.</x:v>
      </x:c>
      <x:c r="L78" s="10" t="str">
        <x:v>Acceptance criteria and required evidence are satisfied and recorded.</x:v>
      </x:c>
      <x:c r="M78" s="10" t="str">
        <x:v>Code, documentation, test evidence, or lab evidence named in the task</x:v>
      </x:c>
      <x:c r="N78" s="10" t="str">
        <x:v>not_started</x:v>
      </x:c>
      <x:c r="O78" s="10" t="str">
        <x:v>Fabricator and investigator</x:v>
      </x:c>
      <x:c r="P78" s="10" t="str">
        <x:v>lab_hardware</x:v>
      </x:c>
      <x:c r="Q78" s="10" t="str">
        <x:v>p1/P1.12-order-collect-weapon-platform-paint-microswit</x:v>
      </x:c>
      <x:c r="R78" s="35" t="str"/>
      <x:c r="S78" s="35" t="str"/>
      <x:c r="T78" s="10" t="str"/>
      <x:c r="U78" s="10" t="str"/>
      <x:c r="V78" s="10" t="str">
        <x:v>ELTS Build Plan P1.12</x:v>
      </x:c>
    </x:row>
    <x:row r="79">
      <x:c r="A79" s="34" t="n">
        <x:v>74</x:v>
      </x:c>
      <x:c r="B79" s="34" t="str">
        <x:v>P1.13.S001</x:v>
      </x:c>
      <x:c r="C79" s="34" t="str">
        <x:v>P1.13</x:v>
      </x:c>
      <x:c r="D79" s="34" t="str">
        <x:v>P1</x:v>
      </x:c>
      <x:c r="E79" s="34" t="str">
        <x:v>G1</x:v>
      </x:c>
      <x:c r="F79" s="34" t="str">
        <x:v>WS-B</x:v>
      </x:c>
      <x:c r="G79" s="34" t="str">
        <x:v>implementation</x:v>
      </x:c>
      <x:c r="H79" s="34" t="str">
        <x:v>(rail-mounted, with pogo-pin board recess) and the headband forehead plate (§13.1–13.2). Print the pivot probe (§13.3) and make the corner rods (§13.5) — the rods are needed at Phase 3. Iterate fit with the real tracker.</x:v>
      </x:c>
      <x:c r="I79" s="34" t="str">
        <x:v>P1.12</x:v>
      </x:c>
      <x:c r="J79" s="34" t="str"/>
      <x:c r="K79" s="34" t="str">
        <x:v>Acceptance criteria and required evidence are satisfied and recorded.</x:v>
      </x:c>
      <x:c r="L79" s="34" t="str">
        <x:v>Acceptance criteria and required evidence are satisfied and recorded.</x:v>
      </x:c>
      <x:c r="M79" s="34" t="str">
        <x:v>Code, documentation, test evidence, or lab evidence named in the task</x:v>
      </x:c>
      <x:c r="N79" s="34" t="str">
        <x:v>not_started</x:v>
      </x:c>
      <x:c r="O79" s="34" t="str">
        <x:v>Fabricator and investigator</x:v>
      </x:c>
      <x:c r="P79" s="34" t="str">
        <x:v>lab_hardware</x:v>
      </x:c>
      <x:c r="Q79" s="34" t="str">
        <x:v>p1/P1.13-design-and-print-the-tracker-cradle</x:v>
      </x:c>
      <x:c r="R79" s="36" t="str"/>
      <x:c r="S79" s="36" t="str"/>
      <x:c r="T79" s="34" t="str"/>
      <x:c r="U79" s="34" t="str"/>
      <x:c r="V79" s="34" t="str">
        <x:v>ELTS Build Plan P1.13</x:v>
      </x:c>
    </x:row>
    <x:row r="80">
      <x:c r="A80" s="10" t="n">
        <x:v>75</x:v>
      </x:c>
      <x:c r="B80" s="10" t="str">
        <x:v>P1.13.V001</x:v>
      </x:c>
      <x:c r="C80" s="10" t="str">
        <x:v>P1.13</x:v>
      </x:c>
      <x:c r="D80" s="10" t="str">
        <x:v>P1</x:v>
      </x:c>
      <x:c r="E80" s="10" t="str">
        <x:v>G1</x:v>
      </x:c>
      <x:c r="F80" s="10" t="str">
        <x:v>WS-B</x:v>
      </x:c>
      <x:c r="G80" s="10" t="str">
        <x:v>verification</x:v>
      </x:c>
      <x:c r="H80" s="10" t="str">
        <x:v>Verify P1.13 against its completion criteria and attach evidence.</x:v>
      </x:c>
      <x:c r="I80" s="10" t="str">
        <x:v>P1.13.S001</x:v>
      </x:c>
      <x:c r="J80" s="10" t="str"/>
      <x:c r="K80" s="10" t="str">
        <x:v>Acceptance criteria and required evidence are satisfied and recorded.</x:v>
      </x:c>
      <x:c r="L80" s="10" t="str">
        <x:v>Acceptance criteria and required evidence are satisfied and recorded.</x:v>
      </x:c>
      <x:c r="M80" s="10" t="str">
        <x:v>Code, documentation, test evidence, or lab evidence named in the task</x:v>
      </x:c>
      <x:c r="N80" s="10" t="str">
        <x:v>not_started</x:v>
      </x:c>
      <x:c r="O80" s="10" t="str">
        <x:v>Fabricator and investigator</x:v>
      </x:c>
      <x:c r="P80" s="10" t="str">
        <x:v>lab_hardware</x:v>
      </x:c>
      <x:c r="Q80" s="10" t="str">
        <x:v>p1/P1.13-design-and-print-the-tracker-cradle</x:v>
      </x:c>
      <x:c r="R80" s="35" t="str"/>
      <x:c r="S80" s="35" t="str"/>
      <x:c r="T80" s="10" t="str"/>
      <x:c r="U80" s="10" t="str"/>
      <x:c r="V80" s="10" t="str">
        <x:v>ELTS Build Plan P1.13</x:v>
      </x:c>
    </x:row>
    <x:row r="81">
      <x:c r="A81" s="34" t="n">
        <x:v>76</x:v>
      </x:c>
      <x:c r="B81" s="34" t="str">
        <x:v>P1.14.S001</x:v>
      </x:c>
      <x:c r="C81" s="34" t="str">
        <x:v>P1.14</x:v>
      </x:c>
      <x:c r="D81" s="34" t="str">
        <x:v>P1</x:v>
      </x:c>
      <x:c r="E81" s="34" t="str">
        <x:v>G1</x:v>
      </x:c>
      <x:c r="F81" s="34" t="str">
        <x:v>WS-B</x:v>
      </x:c>
      <x:c r="G81" s="34" t="str">
        <x:v>verification</x:v>
      </x:c>
      <x:c r="H81" s="34" t="str">
        <x:v>(it is needed at Phase 3; the weapon is not needed until Phase 5). Perform the rigidity test in §13.2.</x:v>
      </x:c>
      <x:c r="I81" s="34" t="str">
        <x:v>P1.13</x:v>
      </x:c>
      <x:c r="J81" s="34" t="str"/>
      <x:c r="K81" s="34" t="str">
        <x:v>Acceptance criteria and required evidence are satisfied and recorded.</x:v>
      </x:c>
      <x:c r="L81" s="34" t="str">
        <x:v>Acceptance criteria and required evidence are satisfied and recorded.</x:v>
      </x:c>
      <x:c r="M81" s="34" t="str">
        <x:v>Code, documentation, test evidence, or lab evidence named in the task</x:v>
      </x:c>
      <x:c r="N81" s="34" t="str">
        <x:v>not_started</x:v>
      </x:c>
      <x:c r="O81" s="34" t="str">
        <x:v>Fabricator and investigator</x:v>
      </x:c>
      <x:c r="P81" s="34" t="str">
        <x:v>lab_hardware</x:v>
      </x:c>
      <x:c r="Q81" s="34" t="str">
        <x:v>p1/P1.14-build-the-headband-mount-first</x:v>
      </x:c>
      <x:c r="R81" s="36" t="str"/>
      <x:c r="S81" s="36" t="str"/>
      <x:c r="T81" s="34" t="str"/>
      <x:c r="U81" s="34" t="str"/>
      <x:c r="V81" s="34" t="str">
        <x:v>ELTS Build Plan P1.14</x:v>
      </x:c>
    </x:row>
    <x:row r="82">
      <x:c r="A82" s="10" t="n">
        <x:v>77</x:v>
      </x:c>
      <x:c r="B82" s="10" t="str">
        <x:v>P1.14.V001</x:v>
      </x:c>
      <x:c r="C82" s="10" t="str">
        <x:v>P1.14</x:v>
      </x:c>
      <x:c r="D82" s="10" t="str">
        <x:v>P1</x:v>
      </x:c>
      <x:c r="E82" s="10" t="str">
        <x:v>G1</x:v>
      </x:c>
      <x:c r="F82" s="10" t="str">
        <x:v>WS-B</x:v>
      </x:c>
      <x:c r="G82" s="10" t="str">
        <x:v>verification</x:v>
      </x:c>
      <x:c r="H82" s="10" t="str">
        <x:v>Verify P1.14 against its completion criteria and attach evidence.</x:v>
      </x:c>
      <x:c r="I82" s="10" t="str">
        <x:v>P1.14.S001</x:v>
      </x:c>
      <x:c r="J82" s="10" t="str"/>
      <x:c r="K82" s="10" t="str">
        <x:v>Acceptance criteria and required evidence are satisfied and recorded.</x:v>
      </x:c>
      <x:c r="L82" s="10" t="str">
        <x:v>Acceptance criteria and required evidence are satisfied and recorded.</x:v>
      </x:c>
      <x:c r="M82" s="10" t="str">
        <x:v>Code, documentation, test evidence, or lab evidence named in the task</x:v>
      </x:c>
      <x:c r="N82" s="10" t="str">
        <x:v>not_started</x:v>
      </x:c>
      <x:c r="O82" s="10" t="str">
        <x:v>Fabricator and investigator</x:v>
      </x:c>
      <x:c r="P82" s="10" t="str">
        <x:v>lab_hardware</x:v>
      </x:c>
      <x:c r="Q82" s="10" t="str">
        <x:v>p1/P1.14-build-the-headband-mount-first</x:v>
      </x:c>
      <x:c r="R82" s="35" t="str"/>
      <x:c r="S82" s="35" t="str"/>
      <x:c r="T82" s="10" t="str"/>
      <x:c r="U82" s="10" t="str"/>
      <x:c r="V82" s="10" t="str">
        <x:v>ELTS Build Plan P1.14</x:v>
      </x:c>
    </x:row>
    <x:row r="83">
      <x:c r="A83" s="34" t="n">
        <x:v>78</x:v>
      </x:c>
      <x:c r="B83" s="34" t="str">
        <x:v>P2.1.S001</x:v>
      </x:c>
      <x:c r="C83" s="34" t="str">
        <x:v>P2.1</x:v>
      </x:c>
      <x:c r="D83" s="34" t="str">
        <x:v>P2</x:v>
      </x:c>
      <x:c r="E83" s="34" t="str">
        <x:v>G2</x:v>
      </x:c>
      <x:c r="F83" s="34" t="str">
        <x:v>WS-C</x:v>
      </x:c>
      <x:c r="G83" s="34" t="str">
        <x:v>verification</x:v>
      </x:c>
      <x:c r="H83" s="34" t="str">
        <x:v>Implement the config files in Appendix A (rig.json, calibration_rig.json, scenario files, session template). Load at startup; validate required fields; refuse to start with a precise error message on any missing or malformed value. Compute and store a SHA-256 of each loaded file for the log headers.</x:v>
      </x:c>
      <x:c r="I83" s="34" t="str">
        <x:v>G1 or (G0 and P2.9)</x:v>
      </x:c>
      <x:c r="J83" s="34" t="str"/>
      <x:c r="K83" s="34" t="str">
        <x:v>EditMode tests cover: valid load, missing field, wrong type, bad serial format.</x:v>
      </x:c>
      <x:c r="L83" s="34" t="str">
        <x:v>EditMode tests cover: valid load, missing field, wrong type, bad serial format.</x:v>
      </x:c>
      <x:c r="M83" s="34" t="str">
        <x:v>config/, schemas/config/, tests</x:v>
      </x:c>
      <x:c r="N83" s="34" t="str">
        <x:v>not_started</x:v>
      </x:c>
      <x:c r="O83" s="34" t="str">
        <x:v>Developer</x:v>
      </x:c>
      <x:c r="P83" s="34" t="str">
        <x:v>agent</x:v>
      </x:c>
      <x:c r="Q83" s="34" t="str">
        <x:v>p2/P2.1-config-loading-and-validation</x:v>
      </x:c>
      <x:c r="R83" s="36" t="str"/>
      <x:c r="S83" s="36" t="str"/>
      <x:c r="T83" s="34" t="str"/>
      <x:c r="U83" s="34" t="str"/>
      <x:c r="V83" s="34" t="str">
        <x:v>ELTS Build Plan P2.1</x:v>
      </x:c>
    </x:row>
    <x:row r="84">
      <x:c r="A84" s="10" t="n">
        <x:v>79</x:v>
      </x:c>
      <x:c r="B84" s="10" t="str">
        <x:v>P2.1.V001</x:v>
      </x:c>
      <x:c r="C84" s="10" t="str">
        <x:v>P2.1</x:v>
      </x:c>
      <x:c r="D84" s="10" t="str">
        <x:v>P2</x:v>
      </x:c>
      <x:c r="E84" s="10" t="str">
        <x:v>G2</x:v>
      </x:c>
      <x:c r="F84" s="10" t="str">
        <x:v>WS-C</x:v>
      </x:c>
      <x:c r="G84" s="10" t="str">
        <x:v>verification</x:v>
      </x:c>
      <x:c r="H84" s="10" t="str">
        <x:v>Verify P2.1 against its completion criteria and attach evidence.</x:v>
      </x:c>
      <x:c r="I84" s="10" t="str">
        <x:v>P2.1.S001</x:v>
      </x:c>
      <x:c r="J84" s="10" t="str"/>
      <x:c r="K84" s="10" t="str">
        <x:v>EditMode tests cover: valid load, missing field, wrong type, bad serial format.</x:v>
      </x:c>
      <x:c r="L84" s="10" t="str">
        <x:v>EditMode tests cover: valid load, missing field, wrong type, bad serial format.</x:v>
      </x:c>
      <x:c r="M84" s="10" t="str">
        <x:v>config/, schemas/config/, tests</x:v>
      </x:c>
      <x:c r="N84" s="10" t="str">
        <x:v>not_started</x:v>
      </x:c>
      <x:c r="O84" s="10" t="str">
        <x:v>Developer</x:v>
      </x:c>
      <x:c r="P84" s="10" t="str">
        <x:v>automated_check</x:v>
      </x:c>
      <x:c r="Q84" s="10" t="str">
        <x:v>p2/P2.1-config-loading-and-validation</x:v>
      </x:c>
      <x:c r="R84" s="35" t="str"/>
      <x:c r="S84" s="35" t="str"/>
      <x:c r="T84" s="10" t="str"/>
      <x:c r="U84" s="10" t="str"/>
      <x:c r="V84" s="10" t="str">
        <x:v>ELTS Build Plan P2.1</x:v>
      </x:c>
    </x:row>
    <x:row r="85">
      <x:c r="A85" s="34" t="n">
        <x:v>80</x:v>
      </x:c>
      <x:c r="B85" s="34" t="str">
        <x:v>P2.2.S001</x:v>
      </x:c>
      <x:c r="C85" s="34" t="str">
        <x:v>P2.2</x:v>
      </x:c>
      <x:c r="D85" s="34" t="str">
        <x:v>P2</x:v>
      </x:c>
      <x:c r="E85" s="34" t="str">
        <x:v>G2</x:v>
      </x:c>
      <x:c r="F85" s="34" t="str">
        <x:v>WS-C</x:v>
      </x:c>
      <x:c r="G85" s="34" t="str">
        <x:v>documentation</x:v>
      </x:c>
      <x:c r="H85" s="34" t="str">
        <x:v>Clock singleton wrapping System.Diagnostics.Stopwatch, started in the first line of application startup, exposing Now as seconds (double). Also records the UTC wall-clock at start (for D-12 cross-device alignment). No other time source is permitted anywhere in the codebase — enforce with a code-review rule and a grep in CI for Time.time, DateTime.Now, Time.realtimeSinceStartup outside Clock (durations such as Time.deltaTime are fine; the rule is about timestamps).</x:v>
      </x:c>
      <x:c r="I85" s="34" t="str">
        <x:v>P2.1</x:v>
      </x:c>
      <x:c r="J85" s="34" t="str">
        <x:v>D-12</x:v>
      </x:c>
      <x:c r="K85" s="34" t="str">
        <x:v>CI grep passes; Clock.Now used by tracking, logging, session, and ELTS link.</x:v>
      </x:c>
      <x:c r="L85" s="34" t="str">
        <x:v>CI grep passes; Clock.Now used by tracking, logging, session, and ELTS link.</x:v>
      </x:c>
      <x:c r="M85" s="34" t="str">
        <x:v>unity core clock and policy check</x:v>
      </x:c>
      <x:c r="N85" s="34" t="str">
        <x:v>not_started</x:v>
      </x:c>
      <x:c r="O85" s="34" t="str">
        <x:v>Developer</x:v>
      </x:c>
      <x:c r="P85" s="34" t="str">
        <x:v>agent</x:v>
      </x:c>
      <x:c r="Q85" s="34" t="str">
        <x:v>p2/P2.2-shared-clock</x:v>
      </x:c>
      <x:c r="R85" s="36" t="str"/>
      <x:c r="S85" s="36" t="str"/>
      <x:c r="T85" s="34" t="str"/>
      <x:c r="U85" s="34" t="str"/>
      <x:c r="V85" s="34" t="str">
        <x:v>ELTS Build Plan P2.2</x:v>
      </x:c>
    </x:row>
    <x:row r="86">
      <x:c r="A86" s="10" t="n">
        <x:v>81</x:v>
      </x:c>
      <x:c r="B86" s="10" t="str">
        <x:v>P2.2.V001</x:v>
      </x:c>
      <x:c r="C86" s="10" t="str">
        <x:v>P2.2</x:v>
      </x:c>
      <x:c r="D86" s="10" t="str">
        <x:v>P2</x:v>
      </x:c>
      <x:c r="E86" s="10" t="str">
        <x:v>G2</x:v>
      </x:c>
      <x:c r="F86" s="10" t="str">
        <x:v>WS-C</x:v>
      </x:c>
      <x:c r="G86" s="10" t="str">
        <x:v>verification</x:v>
      </x:c>
      <x:c r="H86" s="10" t="str">
        <x:v>Verify P2.2 against its completion criteria and attach evidence.</x:v>
      </x:c>
      <x:c r="I86" s="10" t="str">
        <x:v>P2.2.S001</x:v>
      </x:c>
      <x:c r="J86" s="10" t="str">
        <x:v>D-12</x:v>
      </x:c>
      <x:c r="K86" s="10" t="str">
        <x:v>CI grep passes; Clock.Now used by tracking, logging, session, and ELTS link.</x:v>
      </x:c>
      <x:c r="L86" s="10" t="str">
        <x:v>CI grep passes; Clock.Now used by tracking, logging, session, and ELTS link.</x:v>
      </x:c>
      <x:c r="M86" s="10" t="str">
        <x:v>unity core clock and policy check</x:v>
      </x:c>
      <x:c r="N86" s="10" t="str">
        <x:v>not_started</x:v>
      </x:c>
      <x:c r="O86" s="10" t="str">
        <x:v>Developer</x:v>
      </x:c>
      <x:c r="P86" s="10" t="str">
        <x:v>automated_check</x:v>
      </x:c>
      <x:c r="Q86" s="10" t="str">
        <x:v>p2/P2.2-shared-clock</x:v>
      </x:c>
      <x:c r="R86" s="35" t="str"/>
      <x:c r="S86" s="35" t="str"/>
      <x:c r="T86" s="10" t="str"/>
      <x:c r="U86" s="10" t="str"/>
      <x:c r="V86" s="10" t="str">
        <x:v>ELTS Build Plan P2.2</x:v>
      </x:c>
    </x:row>
    <x:row r="87">
      <x:c r="A87" s="34" t="n">
        <x:v>82</x:v>
      </x:c>
      <x:c r="B87" s="34" t="str">
        <x:v>P2.3.S001</x:v>
      </x:c>
      <x:c r="C87" s="34" t="str">
        <x:v>P2.3</x:v>
      </x:c>
      <x:c r="D87" s="34" t="str">
        <x:v>P2</x:v>
      </x:c>
      <x:c r="E87" s="34" t="str">
        <x:v>G2</x:v>
      </x:c>
      <x:c r="F87" s="34" t="str">
        <x:v>WS-A, WS-C</x:v>
      </x:c>
      <x:c r="G87" s="34" t="str">
        <x:v>execution</x:v>
      </x:c>
      <x:c r="H87" s="34" t="str">
        <x:v>Productionize the P1.5–P1.9 spikes into TrackingService:</x:v>
      </x:c>
      <x:c r="I87" s="34" t="str">
        <x:v>P1.5, P1.6, P1.7, P1.8, P1.9, P2.1, P2.2</x:v>
      </x:c>
      <x:c r="J87" s="34" t="str"/>
      <x:c r="K87" s="34" t="str">
        <x:v>Change or evidence attributable to P2.3.S001</x:v>
      </x:c>
      <x:c r="L87" s="34" t="str">
        <x:v>Review the changed artifact and run the nearest relevant automated or lab check.</x:v>
      </x:c>
      <x:c r="M87" s="34" t="str">
        <x:v>unity tracking service and tests</x:v>
      </x:c>
      <x:c r="N87" s="34" t="str">
        <x:v>not_started</x:v>
      </x:c>
      <x:c r="O87" s="34" t="str">
        <x:v>Developer</x:v>
      </x:c>
      <x:c r="P87" s="34" t="str">
        <x:v>agent</x:v>
      </x:c>
      <x:c r="Q87" s="34" t="str">
        <x:v>p2/P2.3-tracking-service</x:v>
      </x:c>
      <x:c r="R87" s="36" t="str"/>
      <x:c r="S87" s="36" t="str"/>
      <x:c r="T87" s="34" t="str"/>
      <x:c r="U87" s="34" t="str"/>
      <x:c r="V87" s="34" t="str">
        <x:v>ELTS Build Plan P2.3</x:v>
      </x:c>
    </x:row>
    <x:row r="88">
      <x:c r="A88" s="10" t="n">
        <x:v>83</x:v>
      </x:c>
      <x:c r="B88" s="10" t="str">
        <x:v>P2.3.S002</x:v>
      </x:c>
      <x:c r="C88" s="10" t="str">
        <x:v>P2.3</x:v>
      </x:c>
      <x:c r="D88" s="10" t="str">
        <x:v>P2</x:v>
      </x:c>
      <x:c r="E88" s="10" t="str">
        <x:v>G2</x:v>
      </x:c>
      <x:c r="F88" s="10" t="str">
        <x:v>WS-A, WS-C</x:v>
      </x:c>
      <x:c r="G88" s="10" t="str">
        <x:v>execution</x:v>
      </x:c>
      <x:c r="H88" s="10" t="str">
        <x:v>Dedicated thread, 250 Hz (rate in config), polling pose + controller state for both bound devices with 0 s prediction in the universe chosen at P1.7.</x:v>
      </x:c>
      <x:c r="I88" s="10" t="str">
        <x:v>P2.3.S001</x:v>
      </x:c>
      <x:c r="J88" s="10" t="str"/>
      <x:c r="K88" s="10" t="str">
        <x:v>Change or evidence attributable to P2.3.S002</x:v>
      </x:c>
      <x:c r="L88" s="10" t="str">
        <x:v>Review the changed artifact and run the nearest relevant automated or lab check.</x:v>
      </x:c>
      <x:c r="M88" s="10" t="str">
        <x:v>unity tracking service and tests</x:v>
      </x:c>
      <x:c r="N88" s="10" t="str">
        <x:v>not_started</x:v>
      </x:c>
      <x:c r="O88" s="10" t="str">
        <x:v>Developer</x:v>
      </x:c>
      <x:c r="P88" s="10" t="str">
        <x:v>agent</x:v>
      </x:c>
      <x:c r="Q88" s="10" t="str">
        <x:v>p2/P2.3-tracking-service</x:v>
      </x:c>
      <x:c r="R88" s="35" t="str"/>
      <x:c r="S88" s="35" t="str"/>
      <x:c r="T88" s="10" t="str"/>
      <x:c r="U88" s="10" t="str"/>
      <x:c r="V88" s="10" t="str">
        <x:v>ELTS Build Plan P2.3</x:v>
      </x:c>
    </x:row>
    <x:row r="89">
      <x:c r="A89" s="34" t="n">
        <x:v>84</x:v>
      </x:c>
      <x:c r="B89" s="34" t="str">
        <x:v>P2.3.S003</x:v>
      </x:c>
      <x:c r="C89" s="34" t="str">
        <x:v>P2.3</x:v>
      </x:c>
      <x:c r="D89" s="34" t="str">
        <x:v>P2</x:v>
      </x:c>
      <x:c r="E89" s="34" t="str">
        <x:v>G2</x:v>
      </x:c>
      <x:c r="F89" s="34" t="str">
        <x:v>WS-A, WS-C</x:v>
      </x:c>
      <x:c r="G89" s="34" t="str">
        <x:v>execution</x:v>
      </x:c>
      <x:c r="H89" s="34" t="str">
        <x:v>Handedness conversion applied exactly once, here.</x:v>
      </x:c>
      <x:c r="I89" s="34" t="str">
        <x:v>P2.3.S002</x:v>
      </x:c>
      <x:c r="J89" s="34" t="str"/>
      <x:c r="K89" s="34" t="str">
        <x:v>Change or evidence attributable to P2.3.S003</x:v>
      </x:c>
      <x:c r="L89" s="34" t="str">
        <x:v>Review the changed artifact and run the nearest relevant automated or lab check.</x:v>
      </x:c>
      <x:c r="M89" s="34" t="str">
        <x:v>unity tracking service and tests</x:v>
      </x:c>
      <x:c r="N89" s="34" t="str">
        <x:v>not_started</x:v>
      </x:c>
      <x:c r="O89" s="34" t="str">
        <x:v>Developer</x:v>
      </x:c>
      <x:c r="P89" s="34" t="str">
        <x:v>agent</x:v>
      </x:c>
      <x:c r="Q89" s="34" t="str">
        <x:v>p2/P2.3-tracking-service</x:v>
      </x:c>
      <x:c r="R89" s="36" t="str"/>
      <x:c r="S89" s="36" t="str"/>
      <x:c r="T89" s="34" t="str"/>
      <x:c r="U89" s="34" t="str"/>
      <x:c r="V89" s="34" t="str">
        <x:v>ELTS Build Plan P2.3</x:v>
      </x:c>
    </x:row>
    <x:row r="90">
      <x:c r="A90" s="10" t="n">
        <x:v>85</x:v>
      </x:c>
      <x:c r="B90" s="10" t="str">
        <x:v>P2.3.S004</x:v>
      </x:c>
      <x:c r="C90" s="10" t="str">
        <x:v>P2.3</x:v>
      </x:c>
      <x:c r="D90" s="10" t="str">
        <x:v>P2</x:v>
      </x:c>
      <x:c r="E90" s="10" t="str">
        <x:v>G2</x:v>
      </x:c>
      <x:c r="F90" s="10" t="str">
        <x:v>WS-A, WS-C</x:v>
      </x:c>
      <x:c r="G90" s="10" t="str">
        <x:v>execution</x:v>
      </x:c>
      <x:c r="H90" s="10" t="str">
        <x:v>Per device: position, quaternion, valid, connected, trackingResult, and for WEAPON the trigger state.</x:v>
      </x:c>
      <x:c r="I90" s="10" t="str">
        <x:v>P2.3.S003</x:v>
      </x:c>
      <x:c r="J90" s="10" t="str"/>
      <x:c r="K90" s="10" t="str">
        <x:v>Change or evidence attributable to P2.3.S004</x:v>
      </x:c>
      <x:c r="L90" s="10" t="str">
        <x:v>Review the changed artifact and run the nearest relevant automated or lab check.</x:v>
      </x:c>
      <x:c r="M90" s="10" t="str">
        <x:v>unity tracking service and tests</x:v>
      </x:c>
      <x:c r="N90" s="10" t="str">
        <x:v>not_started</x:v>
      </x:c>
      <x:c r="O90" s="10" t="str">
        <x:v>Developer</x:v>
      </x:c>
      <x:c r="P90" s="10" t="str">
        <x:v>agent</x:v>
      </x:c>
      <x:c r="Q90" s="10" t="str">
        <x:v>p2/P2.3-tracking-service</x:v>
      </x:c>
      <x:c r="R90" s="35" t="str"/>
      <x:c r="S90" s="35" t="str"/>
      <x:c r="T90" s="10" t="str"/>
      <x:c r="U90" s="10" t="str"/>
      <x:c r="V90" s="10" t="str">
        <x:v>ELTS Build Plan P2.3</x:v>
      </x:c>
    </x:row>
    <x:row r="91">
      <x:c r="A91" s="34" t="n">
        <x:v>86</x:v>
      </x:c>
      <x:c r="B91" s="34" t="str">
        <x:v>P2.3.S005</x:v>
      </x:c>
      <x:c r="C91" s="34" t="str">
        <x:v>P2.3</x:v>
      </x:c>
      <x:c r="D91" s="34" t="str">
        <x:v>P2</x:v>
      </x:c>
      <x:c r="E91" s="34" t="str">
        <x:v>G2</x:v>
      </x:c>
      <x:c r="F91" s="34" t="str">
        <x:v>WS-A, WS-C</x:v>
      </x:c>
      <x:c r="G91" s="34" t="str">
        <x:v>documentation</x:v>
      </x:c>
      <x:c r="H91" s="34" t="str">
        <x:v>Trigger edge detector: on falling edge, record Clock.Now as the shot time, emit a Shot request, lock out further edges for 20 ms (config).</x:v>
      </x:c>
      <x:c r="I91" s="34" t="str">
        <x:v>P2.3.S004</x:v>
      </x:c>
      <x:c r="J91" s="34" t="str"/>
      <x:c r="K91" s="34" t="str">
        <x:v>Change or evidence attributable to P2.3.S005</x:v>
      </x:c>
      <x:c r="L91" s="34" t="str">
        <x:v>Review the changed artifact and run the nearest relevant automated or lab check.</x:v>
      </x:c>
      <x:c r="M91" s="34" t="str">
        <x:v>unity tracking service and tests</x:v>
      </x:c>
      <x:c r="N91" s="34" t="str">
        <x:v>not_started</x:v>
      </x:c>
      <x:c r="O91" s="34" t="str">
        <x:v>Developer</x:v>
      </x:c>
      <x:c r="P91" s="34" t="str">
        <x:v>agent</x:v>
      </x:c>
      <x:c r="Q91" s="34" t="str">
        <x:v>p2/P2.3-tracking-service</x:v>
      </x:c>
      <x:c r="R91" s="36" t="str"/>
      <x:c r="S91" s="36" t="str"/>
      <x:c r="T91" s="34" t="str"/>
      <x:c r="U91" s="34" t="str"/>
      <x:c r="V91" s="34" t="str">
        <x:v>ELTS Build Plan P2.3</x:v>
      </x:c>
    </x:row>
    <x:row r="92">
      <x:c r="A92" s="10" t="n">
        <x:v>87</x:v>
      </x:c>
      <x:c r="B92" s="10" t="str">
        <x:v>P2.3.S006</x:v>
      </x:c>
      <x:c r="C92" s="10" t="str">
        <x:v>P2.3</x:v>
      </x:c>
      <x:c r="D92" s="10" t="str">
        <x:v>P2</x:v>
      </x:c>
      <x:c r="E92" s="10" t="str">
        <x:v>G2</x:v>
      </x:c>
      <x:c r="F92" s="10" t="str">
        <x:v>WS-A, WS-C</x:v>
      </x:c>
      <x:c r="G92" s="10" t="str">
        <x:v>verification</x:v>
      </x:c>
      <x:c r="H92" s="10" t="str">
        <x:v>Publishes the latest sample to the main thread through a lock-free double buffer; publishes every sample to the logging ring buffer.</x:v>
      </x:c>
      <x:c r="I92" s="10" t="str">
        <x:v>P2.3.S005</x:v>
      </x:c>
      <x:c r="J92" s="10" t="str"/>
      <x:c r="K92" s="10" t="str">
        <x:v>Change or evidence attributable to P2.3.S006</x:v>
      </x:c>
      <x:c r="L92" s="10" t="str">
        <x:v>Review the changed artifact and run the nearest relevant automated or lab check.</x:v>
      </x:c>
      <x:c r="M92" s="10" t="str">
        <x:v>unity tracking service and tests</x:v>
      </x:c>
      <x:c r="N92" s="10" t="str">
        <x:v>not_started</x:v>
      </x:c>
      <x:c r="O92" s="10" t="str">
        <x:v>Developer</x:v>
      </x:c>
      <x:c r="P92" s="10" t="str">
        <x:v>agent</x:v>
      </x:c>
      <x:c r="Q92" s="10" t="str">
        <x:v>p2/P2.3-tracking-service</x:v>
      </x:c>
      <x:c r="R92" s="35" t="str"/>
      <x:c r="S92" s="35" t="str"/>
      <x:c r="T92" s="10" t="str"/>
      <x:c r="U92" s="10" t="str"/>
      <x:c r="V92" s="10" t="str">
        <x:v>ELTS Build Plan P2.3</x:v>
      </x:c>
    </x:row>
    <x:row r="93">
      <x:c r="A93" s="34" t="n">
        <x:v>88</x:v>
      </x:c>
      <x:c r="B93" s="34" t="str">
        <x:v>P2.3.S007</x:v>
      </x:c>
      <x:c r="C93" s="34" t="str">
        <x:v>P2.3</x:v>
      </x:c>
      <x:c r="D93" s="34" t="str">
        <x:v>P2</x:v>
      </x:c>
      <x:c r="E93" s="34" t="str">
        <x:v>G2</x:v>
      </x:c>
      <x:c r="F93" s="34" t="str">
        <x:v>WS-A, WS-C</x:v>
      </x:c>
      <x:c r="G93" s="34" t="str">
        <x:v>execution</x:v>
      </x:c>
      <x:c r="H93" s="34" t="str">
        <x:v>Separate optional "rendering head pose" with configurable small prediction (default 0 s until tuned in P3.6); never enters the log.</x:v>
      </x:c>
      <x:c r="I93" s="34" t="str">
        <x:v>P2.3.S006</x:v>
      </x:c>
      <x:c r="J93" s="34" t="str"/>
      <x:c r="K93" s="34" t="str">
        <x:v>Change or evidence attributable to P2.3.S007</x:v>
      </x:c>
      <x:c r="L93" s="34" t="str">
        <x:v>Review the changed artifact and run the nearest relevant automated or lab check.</x:v>
      </x:c>
      <x:c r="M93" s="34" t="str">
        <x:v>unity tracking service and tests</x:v>
      </x:c>
      <x:c r="N93" s="34" t="str">
        <x:v>not_started</x:v>
      </x:c>
      <x:c r="O93" s="34" t="str">
        <x:v>Developer</x:v>
      </x:c>
      <x:c r="P93" s="34" t="str">
        <x:v>agent</x:v>
      </x:c>
      <x:c r="Q93" s="34" t="str">
        <x:v>p2/P2.3-tracking-service</x:v>
      </x:c>
      <x:c r="R93" s="36" t="str"/>
      <x:c r="S93" s="36" t="str"/>
      <x:c r="T93" s="34" t="str"/>
      <x:c r="U93" s="34" t="str"/>
      <x:c r="V93" s="34" t="str">
        <x:v>ELTS Build Plan P2.3</x:v>
      </x:c>
    </x:row>
    <x:row r="94">
      <x:c r="A94" s="10" t="n">
        <x:v>89</x:v>
      </x:c>
      <x:c r="B94" s="10" t="str">
        <x:v>P2.3.S008</x:v>
      </x:c>
      <x:c r="C94" s="10" t="str">
        <x:v>P2.3</x:v>
      </x:c>
      <x:c r="D94" s="10" t="str">
        <x:v>P2</x:v>
      </x:c>
      <x:c r="E94" s="10" t="str">
        <x:v>G2</x:v>
      </x:c>
      <x:c r="F94" s="10" t="str">
        <x:v>WS-A, WS-C</x:v>
      </x:c>
      <x:c r="G94" s="10" t="str">
        <x:v>documentation</x:v>
      </x:c>
      <x:c r="H94" s="10" t="str">
        <x:v>Rebinding on device activate/deactivate events; a device that is not bound reports connected = false.</x:v>
      </x:c>
      <x:c r="I94" s="10" t="str">
        <x:v>P2.3.S007</x:v>
      </x:c>
      <x:c r="J94" s="10" t="str"/>
      <x:c r="K94" s="10" t="str">
        <x:v>PlayMode test with the synthetic source shows correct edge timing and lockout; real-tracker run shows all flags.</x:v>
      </x:c>
      <x:c r="L94" s="10" t="str">
        <x:v>PlayMode test with the synthetic source shows correct edge timing and lockout; real-tracker run shows all flags.</x:v>
      </x:c>
      <x:c r="M94" s="10" t="str">
        <x:v>unity tracking service and tests</x:v>
      </x:c>
      <x:c r="N94" s="10" t="str">
        <x:v>not_started</x:v>
      </x:c>
      <x:c r="O94" s="10" t="str">
        <x:v>Developer</x:v>
      </x:c>
      <x:c r="P94" s="10" t="str">
        <x:v>agent</x:v>
      </x:c>
      <x:c r="Q94" s="10" t="str">
        <x:v>p2/P2.3-tracking-service</x:v>
      </x:c>
      <x:c r="R94" s="35" t="str"/>
      <x:c r="S94" s="35" t="str"/>
      <x:c r="T94" s="10" t="str"/>
      <x:c r="U94" s="10" t="str"/>
      <x:c r="V94" s="10" t="str">
        <x:v>ELTS Build Plan P2.3</x:v>
      </x:c>
    </x:row>
    <x:row r="95">
      <x:c r="A95" s="34" t="n">
        <x:v>90</x:v>
      </x:c>
      <x:c r="B95" s="34" t="str">
        <x:v>P2.3.V001</x:v>
      </x:c>
      <x:c r="C95" s="34" t="str">
        <x:v>P2.3</x:v>
      </x:c>
      <x:c r="D95" s="34" t="str">
        <x:v>P2</x:v>
      </x:c>
      <x:c r="E95" s="34" t="str">
        <x:v>G2</x:v>
      </x:c>
      <x:c r="F95" s="34" t="str">
        <x:v>WS-A, WS-C</x:v>
      </x:c>
      <x:c r="G95" s="34" t="str">
        <x:v>verification</x:v>
      </x:c>
      <x:c r="H95" s="34" t="str">
        <x:v>Verify P2.3 against its completion criteria and attach evidence.</x:v>
      </x:c>
      <x:c r="I95" s="34" t="str">
        <x:v>P2.3.S008</x:v>
      </x:c>
      <x:c r="J95" s="34" t="str"/>
      <x:c r="K95" s="34" t="str">
        <x:v>PlayMode test with the synthetic source shows correct edge timing and lockout; real-tracker run shows all flags.</x:v>
      </x:c>
      <x:c r="L95" s="34" t="str">
        <x:v>PlayMode test with the synthetic source shows correct edge timing and lockout; real-tracker run shows all flags.</x:v>
      </x:c>
      <x:c r="M95" s="34" t="str">
        <x:v>unity tracking service and tests</x:v>
      </x:c>
      <x:c r="N95" s="34" t="str">
        <x:v>not_started</x:v>
      </x:c>
      <x:c r="O95" s="34" t="str">
        <x:v>Developer</x:v>
      </x:c>
      <x:c r="P95" s="34" t="str">
        <x:v>automated_check</x:v>
      </x:c>
      <x:c r="Q95" s="34" t="str">
        <x:v>p2/P2.3-tracking-service</x:v>
      </x:c>
      <x:c r="R95" s="36" t="str"/>
      <x:c r="S95" s="36" t="str"/>
      <x:c r="T95" s="34" t="str"/>
      <x:c r="U95" s="34" t="str"/>
      <x:c r="V95" s="34" t="str">
        <x:v>ELTS Build Plan P2.3</x:v>
      </x:c>
    </x:row>
    <x:row r="96">
      <x:c r="A96" s="10" t="n">
        <x:v>91</x:v>
      </x:c>
      <x:c r="B96" s="10" t="str">
        <x:v>P2.4.S001</x:v>
      </x:c>
      <x:c r="C96" s="10" t="str">
        <x:v>P2.4</x:v>
      </x:c>
      <x:c r="D96" s="10" t="str">
        <x:v>P2</x:v>
      </x:c>
      <x:c r="E96" s="10" t="str">
        <x:v>G2</x:v>
      </x:c>
      <x:c r="F96" s="10" t="str">
        <x:v>WS-C</x:v>
      </x:c>
      <x:c r="G96" s="10" t="str">
        <x:v>verification</x:v>
      </x:c>
      <x:c r="H96" s="10" t="str">
        <x:v>ScreenPlane (O, U, V; N; intersection returning t, P, u, v, onScreen), BoreRay (origin, direction from weapon pose + muzzle offset + zero correction + bore direction, exactly as §5.4), AimError (degrees, via atan2(|cross|, dot) for numerical stability), EyePosition (head pose + eye offset), Visibility (is a world point inside the eye-to-corner frustum), analytic ray–sphere and ray–capsule intersection for the default hit test. Vector/quaternion structs in float for geometry, double for all timestamps.</x:v>
      </x:c>
      <x:c r="I96" s="10" t="str">
        <x:v>P2.1</x:v>
      </x:c>
      <x:c r="J96" s="10" t="str"/>
      <x:c r="K96" s="10" t="str">
        <x:v>EditMode tests: intersection against known planes; onScreen edge cases; t &lt;= 0 and near-parallel rejection; aim error against hand-computed cases including off-screen; frustum visibility at corners.</x:v>
      </x:c>
      <x:c r="L96" s="10" t="str">
        <x:v>EditMode tests: intersection against known planes; onScreen edge cases; t &lt;= 0 and near-parallel rejection; aim error against hand-computed cases including off-screen; frustum visibility at corners.</x:v>
      </x:c>
      <x:c r="M96" s="10" t="str">
        <x:v>pure C# geometry library and tests</x:v>
      </x:c>
      <x:c r="N96" s="10" t="str">
        <x:v>not_started</x:v>
      </x:c>
      <x:c r="O96" s="10" t="str">
        <x:v>Developer</x:v>
      </x:c>
      <x:c r="P96" s="10" t="str">
        <x:v>agent</x:v>
      </x:c>
      <x:c r="Q96" s="10" t="str">
        <x:v>p2/P2.4-geometry-library-pure-c-no-unityengine-types</x:v>
      </x:c>
      <x:c r="R96" s="35" t="str"/>
      <x:c r="S96" s="35" t="str"/>
      <x:c r="T96" s="10" t="str"/>
      <x:c r="U96" s="10" t="str"/>
      <x:c r="V96" s="10" t="str">
        <x:v>ELTS Build Plan P2.4</x:v>
      </x:c>
    </x:row>
    <x:row r="97">
      <x:c r="A97" s="34" t="n">
        <x:v>92</x:v>
      </x:c>
      <x:c r="B97" s="34" t="str">
        <x:v>P2.4.V001</x:v>
      </x:c>
      <x:c r="C97" s="34" t="str">
        <x:v>P2.4</x:v>
      </x:c>
      <x:c r="D97" s="34" t="str">
        <x:v>P2</x:v>
      </x:c>
      <x:c r="E97" s="34" t="str">
        <x:v>G2</x:v>
      </x:c>
      <x:c r="F97" s="34" t="str">
        <x:v>WS-C</x:v>
      </x:c>
      <x:c r="G97" s="34" t="str">
        <x:v>verification</x:v>
      </x:c>
      <x:c r="H97" s="34" t="str">
        <x:v>Verify P2.4 against its completion criteria and attach evidence.</x:v>
      </x:c>
      <x:c r="I97" s="34" t="str">
        <x:v>P2.4.S001</x:v>
      </x:c>
      <x:c r="J97" s="34" t="str"/>
      <x:c r="K97" s="34" t="str">
        <x:v>EditMode tests: intersection against known planes; onScreen edge cases; t &lt;= 0 and near-parallel rejection; aim error against hand-computed cases including off-screen; frustum visibility at corners.</x:v>
      </x:c>
      <x:c r="L97" s="34" t="str">
        <x:v>EditMode tests: intersection against known planes; onScreen edge cases; t &lt;= 0 and near-parallel rejection; aim error against hand-computed cases including off-screen; frustum visibility at corners.</x:v>
      </x:c>
      <x:c r="M97" s="34" t="str">
        <x:v>pure C# geometry library and tests</x:v>
      </x:c>
      <x:c r="N97" s="34" t="str">
        <x:v>not_started</x:v>
      </x:c>
      <x:c r="O97" s="34" t="str">
        <x:v>Developer</x:v>
      </x:c>
      <x:c r="P97" s="34" t="str">
        <x:v>automated_check</x:v>
      </x:c>
      <x:c r="Q97" s="34" t="str">
        <x:v>p2/P2.4-geometry-library-pure-c-no-unityengine-types</x:v>
      </x:c>
      <x:c r="R97" s="36" t="str"/>
      <x:c r="S97" s="36" t="str"/>
      <x:c r="T97" s="34" t="str"/>
      <x:c r="U97" s="34" t="str"/>
      <x:c r="V97" s="34" t="str">
        <x:v>ELTS Build Plan P2.4</x:v>
      </x:c>
    </x:row>
    <x:row r="98">
      <x:c r="A98" s="10" t="n">
        <x:v>93</x:v>
      </x:c>
      <x:c r="B98" s="10" t="str">
        <x:v>P2.5.S001</x:v>
      </x:c>
      <x:c r="C98" s="10" t="str">
        <x:v>P2.5</x:v>
      </x:c>
      <x:c r="D98" s="10" t="str">
        <x:v>P2</x:v>
      </x:c>
      <x:c r="E98" s="10" t="str">
        <x:v>G2</x:v>
      </x:c>
      <x:c r="F98" s="10" t="str">
        <x:v>WS-C</x:v>
      </x:c>
      <x:c r="G98" s="10" t="str">
        <x:v>execution</x:v>
      </x:c>
      <x:c r="H98" s="10" t="str">
        <x:v>As specified in §6.4 and Appendix B:</x:v>
      </x:c>
      <x:c r="I98" s="10" t="str">
        <x:v>P2.2, P2.3</x:v>
      </x:c>
      <x:c r="J98" s="10" t="str"/>
      <x:c r="K98" s="10" t="str">
        <x:v>Change or evidence attributable to P2.5.S001</x:v>
      </x:c>
      <x:c r="L98" s="10" t="str">
        <x:v>Review the changed artifact and run the nearest relevant automated or lab check.</x:v>
      </x:c>
      <x:c r="M98" s="10" t="str">
        <x:v>logging pipeline and soak evidence</x:v>
      </x:c>
      <x:c r="N98" s="10" t="str">
        <x:v>not_started</x:v>
      </x:c>
      <x:c r="O98" s="10" t="str">
        <x:v>Developer</x:v>
      </x:c>
      <x:c r="P98" s="10" t="str">
        <x:v>agent</x:v>
      </x:c>
      <x:c r="Q98" s="10" t="str">
        <x:v>p2/P2.5-logging-pipeline</x:v>
      </x:c>
      <x:c r="R98" s="35" t="str"/>
      <x:c r="S98" s="35" t="str"/>
      <x:c r="T98" s="10" t="str"/>
      <x:c r="U98" s="10" t="str"/>
      <x:c r="V98" s="10" t="str">
        <x:v>ELTS Build Plan P2.5</x:v>
      </x:c>
    </x:row>
    <x:row r="99">
      <x:c r="A99" s="34" t="n">
        <x:v>94</x:v>
      </x:c>
      <x:c r="B99" s="34" t="str">
        <x:v>P2.5.S002</x:v>
      </x:c>
      <x:c r="C99" s="34" t="str">
        <x:v>P2.5</x:v>
      </x:c>
      <x:c r="D99" s="34" t="str">
        <x:v>P2</x:v>
      </x:c>
      <x:c r="E99" s="34" t="str">
        <x:v>G2</x:v>
      </x:c>
      <x:c r="F99" s="34" t="str">
        <x:v>WS-C</x:v>
      </x:c>
      <x:c r="G99" s="34" t="str">
        <x:v>documentation</x:v>
      </x:c>
      <x:c r="H99" s="34" t="str">
        <x:v>Lock-free single-producer/single-consumer ring buffer of fixed-size sample structs (no allocation per sample). Sequence number on every sample; the consumer detects gaps and writes a SampleDropped event with the count.</x:v>
      </x:c>
      <x:c r="I99" s="34" t="str">
        <x:v>P2.5.S001</x:v>
      </x:c>
      <x:c r="J99" s="34" t="str"/>
      <x:c r="K99" s="34" t="str">
        <x:v>Change or evidence attributable to P2.5.S002</x:v>
      </x:c>
      <x:c r="L99" s="34" t="str">
        <x:v>Review the changed artifact and run the nearest relevant automated or lab check.</x:v>
      </x:c>
      <x:c r="M99" s="34" t="str">
        <x:v>logging pipeline and soak evidence</x:v>
      </x:c>
      <x:c r="N99" s="34" t="str">
        <x:v>not_started</x:v>
      </x:c>
      <x:c r="O99" s="34" t="str">
        <x:v>Developer</x:v>
      </x:c>
      <x:c r="P99" s="34" t="str">
        <x:v>agent</x:v>
      </x:c>
      <x:c r="Q99" s="34" t="str">
        <x:v>p2/P2.5-logging-pipeline</x:v>
      </x:c>
      <x:c r="R99" s="36" t="str"/>
      <x:c r="S99" s="36" t="str"/>
      <x:c r="T99" s="34" t="str"/>
      <x:c r="U99" s="34" t="str"/>
      <x:c r="V99" s="34" t="str">
        <x:v>ELTS Build Plan P2.5</x:v>
      </x:c>
    </x:row>
    <x:row r="100">
      <x:c r="A100" s="10" t="n">
        <x:v>95</x:v>
      </x:c>
      <x:c r="B100" s="10" t="str">
        <x:v>P2.5.S003</x:v>
      </x:c>
      <x:c r="C100" s="10" t="str">
        <x:v>P2.5</x:v>
      </x:c>
      <x:c r="D100" s="10" t="str">
        <x:v>P2</x:v>
      </x:c>
      <x:c r="E100" s="10" t="str">
        <x:v>G2</x:v>
      </x:c>
      <x:c r="F100" s="10" t="str">
        <x:v>WS-C</x:v>
      </x:c>
      <x:c r="G100" s="10" t="str">
        <x:v>documentation</x:v>
      </x:c>
      <x:c r="H100" s="10" t="str">
        <x:v>Writer thread flushes to CSV every N ms (config, default 250 ms) using a pre-sized StringBuilder; fsync at block end.</x:v>
      </x:c>
      <x:c r="I100" s="10" t="str">
        <x:v>P2.5.S002</x:v>
      </x:c>
      <x:c r="J100" s="10" t="str"/>
      <x:c r="K100" s="10" t="str">
        <x:v>Change or evidence attributable to P2.5.S003</x:v>
      </x:c>
      <x:c r="L100" s="10" t="str">
        <x:v>Review the changed artifact and run the nearest relevant automated or lab check.</x:v>
      </x:c>
      <x:c r="M100" s="10" t="str">
        <x:v>logging pipeline and soak evidence</x:v>
      </x:c>
      <x:c r="N100" s="10" t="str">
        <x:v>not_started</x:v>
      </x:c>
      <x:c r="O100" s="10" t="str">
        <x:v>Developer</x:v>
      </x:c>
      <x:c r="P100" s="10" t="str">
        <x:v>agent</x:v>
      </x:c>
      <x:c r="Q100" s="10" t="str">
        <x:v>p2/P2.5-logging-pipeline</x:v>
      </x:c>
      <x:c r="R100" s="35" t="str"/>
      <x:c r="S100" s="35" t="str"/>
      <x:c r="T100" s="10" t="str"/>
      <x:c r="U100" s="10" t="str"/>
      <x:c r="V100" s="10" t="str">
        <x:v>ELTS Build Plan P2.5</x:v>
      </x:c>
    </x:row>
    <x:row r="101">
      <x:c r="A101" s="34" t="n">
        <x:v>96</x:v>
      </x:c>
      <x:c r="B101" s="34" t="str">
        <x:v>P2.5.S004</x:v>
      </x:c>
      <x:c r="C101" s="34" t="str">
        <x:v>P2.5</x:v>
      </x:c>
      <x:c r="D101" s="34" t="str">
        <x:v>P2</x:v>
      </x:c>
      <x:c r="E101" s="34" t="str">
        <x:v>G2</x:v>
      </x:c>
      <x:c r="F101" s="34" t="str">
        <x:v>WS-C</x:v>
      </x:c>
      <x:c r="G101" s="34" t="str">
        <x:v>execution</x:v>
      </x:c>
      <x:c r="H101" s="34" t="str">
        <x:v>Three streams per block: samples.csv (250 Hz), targets.csv (once per rendered frame, one row per active target), events.csv. One session.json per participant.</x:v>
      </x:c>
      <x:c r="I101" s="34" t="str">
        <x:v>P2.5.S003</x:v>
      </x:c>
      <x:c r="J101" s="34" t="str"/>
      <x:c r="K101" s="34" t="str">
        <x:v>Change or evidence attributable to P2.5.S004</x:v>
      </x:c>
      <x:c r="L101" s="34" t="str">
        <x:v>Review the changed artifact and run the nearest relevant automated or lab check.</x:v>
      </x:c>
      <x:c r="M101" s="34" t="str">
        <x:v>logging pipeline and soak evidence</x:v>
      </x:c>
      <x:c r="N101" s="34" t="str">
        <x:v>not_started</x:v>
      </x:c>
      <x:c r="O101" s="34" t="str">
        <x:v>Developer</x:v>
      </x:c>
      <x:c r="P101" s="34" t="str">
        <x:v>agent</x:v>
      </x:c>
      <x:c r="Q101" s="34" t="str">
        <x:v>p2/P2.5-logging-pipeline</x:v>
      </x:c>
      <x:c r="R101" s="36" t="str"/>
      <x:c r="S101" s="36" t="str"/>
      <x:c r="T101" s="34" t="str"/>
      <x:c r="U101" s="34" t="str"/>
      <x:c r="V101" s="34" t="str">
        <x:v>ELTS Build Plan P2.5</x:v>
      </x:c>
    </x:row>
    <x:row r="102">
      <x:c r="A102" s="10" t="n">
        <x:v>97</x:v>
      </x:c>
      <x:c r="B102" s="10" t="str">
        <x:v>P2.5.S005</x:v>
      </x:c>
      <x:c r="C102" s="10" t="str">
        <x:v>P2.5</x:v>
      </x:c>
      <x:c r="D102" s="10" t="str">
        <x:v>P2</x:v>
      </x:c>
      <x:c r="E102" s="10" t="str">
        <x:v>G2</x:v>
      </x:c>
      <x:c r="F102" s="10" t="str">
        <x:v>WS-C</x:v>
      </x:c>
      <x:c r="G102" s="10" t="str">
        <x:v>execution</x:v>
      </x:c>
      <x:c r="H102" s="10" t="str">
        <x:v>Every file starts with a #-prefixed header block: app version, git hash, config hashes, participant ID, block index, condition, order position, UTC at clock start, coordinate convention, schema version.</x:v>
      </x:c>
      <x:c r="I102" s="10" t="str">
        <x:v>P2.5.S004</x:v>
      </x:c>
      <x:c r="J102" s="10" t="str"/>
      <x:c r="K102" s="10" t="str">
        <x:v>Change or evidence attributable to P2.5.S005</x:v>
      </x:c>
      <x:c r="L102" s="10" t="str">
        <x:v>Review the changed artifact and run the nearest relevant automated or lab check.</x:v>
      </x:c>
      <x:c r="M102" s="10" t="str">
        <x:v>logging pipeline and soak evidence</x:v>
      </x:c>
      <x:c r="N102" s="10" t="str">
        <x:v>not_started</x:v>
      </x:c>
      <x:c r="O102" s="10" t="str">
        <x:v>Developer</x:v>
      </x:c>
      <x:c r="P102" s="10" t="str">
        <x:v>agent</x:v>
      </x:c>
      <x:c r="Q102" s="10" t="str">
        <x:v>p2/P2.5-logging-pipeline</x:v>
      </x:c>
      <x:c r="R102" s="35" t="str"/>
      <x:c r="S102" s="35" t="str"/>
      <x:c r="T102" s="10" t="str"/>
      <x:c r="U102" s="10" t="str"/>
      <x:c r="V102" s="10" t="str">
        <x:v>ELTS Build Plan P2.5</x:v>
      </x:c>
    </x:row>
    <x:row r="103">
      <x:c r="A103" s="34" t="n">
        <x:v>98</x:v>
      </x:c>
      <x:c r="B103" s="34" t="str">
        <x:v>P2.5.S006</x:v>
      </x:c>
      <x:c r="C103" s="34" t="str">
        <x:v>P2.5</x:v>
      </x:c>
      <x:c r="D103" s="34" t="str">
        <x:v>P2</x:v>
      </x:c>
      <x:c r="E103" s="34" t="str">
        <x:v>G2</x:v>
      </x:c>
      <x:c r="F103" s="34" t="str">
        <x:v>WS-C</x:v>
      </x:c>
      <x:c r="G103" s="34" t="str">
        <x:v>documentation</x:v>
      </x:c>
      <x:c r="H103" s="34" t="str">
        <x:v>Directory layout: data/P{id}/block{n}_{cond}/…. Never overwrite: if a path exists, append a _r{k} suffix and log a RerunDetected event.</x:v>
      </x:c>
      <x:c r="I103" s="34" t="str">
        <x:v>P2.5.S005</x:v>
      </x:c>
      <x:c r="J103" s="34" t="str"/>
      <x:c r="K103" s="34" t="str">
        <x:v>30-minute soak with the synthetic source at 250 Hz shows zero drops, files parse with the ingest script (P2.8), and the file sizes are as predicted.</x:v>
      </x:c>
      <x:c r="L103" s="34" t="str">
        <x:v>30-minute soak with the synthetic source at 250 Hz shows zero drops, files parse with the ingest script (P2.8), and the file sizes are as predicted.</x:v>
      </x:c>
      <x:c r="M103" s="34" t="str">
        <x:v>logging pipeline and soak evidence</x:v>
      </x:c>
      <x:c r="N103" s="34" t="str">
        <x:v>not_started</x:v>
      </x:c>
      <x:c r="O103" s="34" t="str">
        <x:v>Developer</x:v>
      </x:c>
      <x:c r="P103" s="34" t="str">
        <x:v>agent</x:v>
      </x:c>
      <x:c r="Q103" s="34" t="str">
        <x:v>p2/P2.5-logging-pipeline</x:v>
      </x:c>
      <x:c r="R103" s="36" t="str"/>
      <x:c r="S103" s="36" t="str"/>
      <x:c r="T103" s="34" t="str"/>
      <x:c r="U103" s="34" t="str"/>
      <x:c r="V103" s="34" t="str">
        <x:v>ELTS Build Plan P2.5</x:v>
      </x:c>
    </x:row>
    <x:row r="104">
      <x:c r="A104" s="10" t="n">
        <x:v>99</x:v>
      </x:c>
      <x:c r="B104" s="10" t="str">
        <x:v>P2.5.V001</x:v>
      </x:c>
      <x:c r="C104" s="10" t="str">
        <x:v>P2.5</x:v>
      </x:c>
      <x:c r="D104" s="10" t="str">
        <x:v>P2</x:v>
      </x:c>
      <x:c r="E104" s="10" t="str">
        <x:v>G2</x:v>
      </x:c>
      <x:c r="F104" s="10" t="str">
        <x:v>WS-C</x:v>
      </x:c>
      <x:c r="G104" s="10" t="str">
        <x:v>verification</x:v>
      </x:c>
      <x:c r="H104" s="10" t="str">
        <x:v>Verify P2.5 against its completion criteria and attach evidence.</x:v>
      </x:c>
      <x:c r="I104" s="10" t="str">
        <x:v>P2.5.S006</x:v>
      </x:c>
      <x:c r="J104" s="10" t="str"/>
      <x:c r="K104" s="10" t="str">
        <x:v>30-minute soak with the synthetic source at 250 Hz shows zero drops, files parse with the ingest script (P2.8), and the file sizes are as predicted.</x:v>
      </x:c>
      <x:c r="L104" s="10" t="str">
        <x:v>30-minute soak with the synthetic source at 250 Hz shows zero drops, files parse with the ingest script (P2.8), and the file sizes are as predicted.</x:v>
      </x:c>
      <x:c r="M104" s="10" t="str">
        <x:v>logging pipeline and soak evidence</x:v>
      </x:c>
      <x:c r="N104" s="10" t="str">
        <x:v>not_started</x:v>
      </x:c>
      <x:c r="O104" s="10" t="str">
        <x:v>Developer</x:v>
      </x:c>
      <x:c r="P104" s="10" t="str">
        <x:v>automated_check</x:v>
      </x:c>
      <x:c r="Q104" s="10" t="str">
        <x:v>p2/P2.5-logging-pipeline</x:v>
      </x:c>
      <x:c r="R104" s="35" t="str"/>
      <x:c r="S104" s="35" t="str"/>
      <x:c r="T104" s="10" t="str"/>
      <x:c r="U104" s="10" t="str"/>
      <x:c r="V104" s="10" t="str">
        <x:v>ELTS Build Plan P2.5</x:v>
      </x:c>
    </x:row>
    <x:row r="105">
      <x:c r="A105" s="34" t="n">
        <x:v>100</x:v>
      </x:c>
      <x:c r="B105" s="34" t="str">
        <x:v>P2.6.S001</x:v>
      </x:c>
      <x:c r="C105" s="34" t="str">
        <x:v>P2.6</x:v>
      </x:c>
      <x:c r="D105" s="34" t="str">
        <x:v>P2</x:v>
      </x:c>
      <x:c r="E105" s="34" t="str">
        <x:v>G2</x:v>
      </x:c>
      <x:c r="F105" s="34" t="str">
        <x:v>WS-C</x:v>
      </x:c>
      <x:c r="G105" s="34" t="str">
        <x:v>execution</x:v>
      </x:c>
      <x:c r="H105" s="34" t="str">
        <x:v>A single typed event type (t, type, JSON payload) that every subsystem posts to and the logger consumes. Events defined in Appendix B.3. This is also what the operator UI listens to later.</x:v>
      </x:c>
      <x:c r="I105" s="34" t="str">
        <x:v>P2.2, P2.5</x:v>
      </x:c>
      <x:c r="J105" s="34" t="str"/>
      <x:c r="K105" s="34" t="str">
        <x:v>all Appendix B.3 events can be posted and appear in events.csv.</x:v>
      </x:c>
      <x:c r="L105" s="34" t="str">
        <x:v>all Appendix B.3 events can be posted and appear in events.csv.</x:v>
      </x:c>
      <x:c r="M105" s="34" t="str">
        <x:v>event types and tests</x:v>
      </x:c>
      <x:c r="N105" s="34" t="str">
        <x:v>not_started</x:v>
      </x:c>
      <x:c r="O105" s="34" t="str">
        <x:v>Developer</x:v>
      </x:c>
      <x:c r="P105" s="34" t="str">
        <x:v>agent</x:v>
      </x:c>
      <x:c r="Q105" s="34" t="str">
        <x:v>p2/P2.6-event-bus</x:v>
      </x:c>
      <x:c r="R105" s="36" t="str"/>
      <x:c r="S105" s="36" t="str"/>
      <x:c r="T105" s="34" t="str"/>
      <x:c r="U105" s="34" t="str"/>
      <x:c r="V105" s="34" t="str">
        <x:v>ELTS Build Plan P2.6</x:v>
      </x:c>
    </x:row>
    <x:row r="106">
      <x:c r="A106" s="10" t="n">
        <x:v>101</x:v>
      </x:c>
      <x:c r="B106" s="10" t="str">
        <x:v>P2.6.V001</x:v>
      </x:c>
      <x:c r="C106" s="10" t="str">
        <x:v>P2.6</x:v>
      </x:c>
      <x:c r="D106" s="10" t="str">
        <x:v>P2</x:v>
      </x:c>
      <x:c r="E106" s="10" t="str">
        <x:v>G2</x:v>
      </x:c>
      <x:c r="F106" s="10" t="str">
        <x:v>WS-C</x:v>
      </x:c>
      <x:c r="G106" s="10" t="str">
        <x:v>verification</x:v>
      </x:c>
      <x:c r="H106" s="10" t="str">
        <x:v>Verify P2.6 against its completion criteria and attach evidence.</x:v>
      </x:c>
      <x:c r="I106" s="10" t="str">
        <x:v>P2.6.S001</x:v>
      </x:c>
      <x:c r="J106" s="10" t="str"/>
      <x:c r="K106" s="10" t="str">
        <x:v>all Appendix B.3 events can be posted and appear in events.csv.</x:v>
      </x:c>
      <x:c r="L106" s="10" t="str">
        <x:v>all Appendix B.3 events can be posted and appear in events.csv.</x:v>
      </x:c>
      <x:c r="M106" s="10" t="str">
        <x:v>event types and tests</x:v>
      </x:c>
      <x:c r="N106" s="10" t="str">
        <x:v>not_started</x:v>
      </x:c>
      <x:c r="O106" s="10" t="str">
        <x:v>Developer</x:v>
      </x:c>
      <x:c r="P106" s="10" t="str">
        <x:v>automated_check</x:v>
      </x:c>
      <x:c r="Q106" s="10" t="str">
        <x:v>p2/P2.6-event-bus</x:v>
      </x:c>
      <x:c r="R106" s="35" t="str"/>
      <x:c r="S106" s="35" t="str"/>
      <x:c r="T106" s="10" t="str"/>
      <x:c r="U106" s="10" t="str"/>
      <x:c r="V106" s="10" t="str">
        <x:v>ELTS Build Plan P2.6</x:v>
      </x:c>
    </x:row>
    <x:row r="107">
      <x:c r="A107" s="34" t="n">
        <x:v>102</x:v>
      </x:c>
      <x:c r="B107" s="34" t="str">
        <x:v>P2.7.S001</x:v>
      </x:c>
      <x:c r="C107" s="34" t="str">
        <x:v>P2.7</x:v>
      </x:c>
      <x:c r="D107" s="34" t="str">
        <x:v>P2</x:v>
      </x:c>
      <x:c r="E107" s="34" t="str">
        <x:v>G2</x:v>
      </x:c>
      <x:c r="F107" s="34" t="str">
        <x:v>WS-C</x:v>
      </x:c>
      <x:c r="G107" s="34" t="str">
        <x:v>verification</x:v>
      </x:c>
      <x:c r="H107" s="34" t="str">
        <x:v>The main thread publishes, once per frame, an immutable snapshot of all active targets (id, world position, world velocity, radius/shape, visible flag, snapshot time). The tracking thread reads the latest snapshot to compute per-sample aim error to the "relevant target" (Appendix B.1 defines relevance as smallest angular error; the rule is a config option), extrapolating moving targets by velocity × (t − snapshotTime).</x:v>
      </x:c>
      <x:c r="I107" s="34" t="str">
        <x:v>P2.2, P2.4</x:v>
      </x:c>
      <x:c r="J107" s="34" t="str"/>
      <x:c r="K107" s="34" t="str">
        <x:v>PlayMode test with a scripted moving target shows extrapolation error &lt; 1 mm at 60 fps.</x:v>
      </x:c>
      <x:c r="L107" s="34" t="str">
        <x:v>PlayMode test with a scripted moving target shows extrapolation error &lt; 1 mm at 60 fps.</x:v>
      </x:c>
      <x:c r="M107" s="34" t="str">
        <x:v>snapshot channel and test</x:v>
      </x:c>
      <x:c r="N107" s="34" t="str">
        <x:v>not_started</x:v>
      </x:c>
      <x:c r="O107" s="34" t="str">
        <x:v>Developer</x:v>
      </x:c>
      <x:c r="P107" s="34" t="str">
        <x:v>agent</x:v>
      </x:c>
      <x:c r="Q107" s="34" t="str">
        <x:v>p2/P2.7-target-snapshot-channel</x:v>
      </x:c>
      <x:c r="R107" s="36" t="str"/>
      <x:c r="S107" s="36" t="str"/>
      <x:c r="T107" s="34" t="str"/>
      <x:c r="U107" s="34" t="str"/>
      <x:c r="V107" s="34" t="str">
        <x:v>ELTS Build Plan P2.7</x:v>
      </x:c>
    </x:row>
    <x:row r="108">
      <x:c r="A108" s="10" t="n">
        <x:v>103</x:v>
      </x:c>
      <x:c r="B108" s="10" t="str">
        <x:v>P2.7.V001</x:v>
      </x:c>
      <x:c r="C108" s="10" t="str">
        <x:v>P2.7</x:v>
      </x:c>
      <x:c r="D108" s="10" t="str">
        <x:v>P2</x:v>
      </x:c>
      <x:c r="E108" s="10" t="str">
        <x:v>G2</x:v>
      </x:c>
      <x:c r="F108" s="10" t="str">
        <x:v>WS-C</x:v>
      </x:c>
      <x:c r="G108" s="10" t="str">
        <x:v>verification</x:v>
      </x:c>
      <x:c r="H108" s="10" t="str">
        <x:v>Verify P2.7 against its completion criteria and attach evidence.</x:v>
      </x:c>
      <x:c r="I108" s="10" t="str">
        <x:v>P2.7.S001</x:v>
      </x:c>
      <x:c r="J108" s="10" t="str"/>
      <x:c r="K108" s="10" t="str">
        <x:v>PlayMode test with a scripted moving target shows extrapolation error &lt; 1 mm at 60 fps.</x:v>
      </x:c>
      <x:c r="L108" s="10" t="str">
        <x:v>PlayMode test with a scripted moving target shows extrapolation error &lt; 1 mm at 60 fps.</x:v>
      </x:c>
      <x:c r="M108" s="10" t="str">
        <x:v>snapshot channel and test</x:v>
      </x:c>
      <x:c r="N108" s="10" t="str">
        <x:v>not_started</x:v>
      </x:c>
      <x:c r="O108" s="10" t="str">
        <x:v>Developer</x:v>
      </x:c>
      <x:c r="P108" s="10" t="str">
        <x:v>automated_check</x:v>
      </x:c>
      <x:c r="Q108" s="10" t="str">
        <x:v>p2/P2.7-target-snapshot-channel</x:v>
      </x:c>
      <x:c r="R108" s="35" t="str"/>
      <x:c r="S108" s="35" t="str"/>
      <x:c r="T108" s="10" t="str"/>
      <x:c r="U108" s="10" t="str"/>
      <x:c r="V108" s="10" t="str">
        <x:v>ELTS Build Plan P2.7</x:v>
      </x:c>
    </x:row>
    <x:row r="109">
      <x:c r="A109" s="34" t="n">
        <x:v>104</x:v>
      </x:c>
      <x:c r="B109" s="34" t="str">
        <x:v>P2.8.S001</x:v>
      </x:c>
      <x:c r="C109" s="34" t="str">
        <x:v>P2.8</x:v>
      </x:c>
      <x:c r="D109" s="34" t="str">
        <x:v>P2</x:v>
      </x:c>
      <x:c r="E109" s="34" t="str">
        <x:v>G2</x:v>
      </x:c>
      <x:c r="F109" s="34" t="str">
        <x:v>WS-C, WS-F</x:v>
      </x:c>
      <x:c r="G109" s="34" t="str">
        <x:v>verification</x:v>
      </x:c>
      <x:c r="H109" s="34" t="str">
        <x:v>A Python script (tools/ingest.py) that reads a participant folder, validates headers and schema version, parses all three streams, drops invalid samples by flag, and prints per-block summaries: sample count, drop count, invalid-sample fraction per tracker, targets destroyed, mean/median aim error on valid samples, shot count. This is written now so the schema is proven before anything real depends on it.</x:v>
      </x:c>
      <x:c r="I109" s="34" t="str">
        <x:v>P2.5, P2.6</x:v>
      </x:c>
      <x:c r="J109" s="34" t="str"/>
      <x:c r="K109" s="34" t="str">
        <x:v>runs on the P2.5 soak output.</x:v>
      </x:c>
      <x:c r="L109" s="34" t="str">
        <x:v>runs on the P2.5 soak output.</x:v>
      </x:c>
      <x:c r="M109" s="34" t="str">
        <x:v>analysis ingest package and fixtures</x:v>
      </x:c>
      <x:c r="N109" s="34" t="str">
        <x:v>not_started</x:v>
      </x:c>
      <x:c r="O109" s="34" t="str">
        <x:v>Developer</x:v>
      </x:c>
      <x:c r="P109" s="34" t="str">
        <x:v>agent</x:v>
      </x:c>
      <x:c r="Q109" s="34" t="str">
        <x:v>p2/P2.8-ingest-script-first-version</x:v>
      </x:c>
      <x:c r="R109" s="36" t="str"/>
      <x:c r="S109" s="36" t="str"/>
      <x:c r="T109" s="34" t="str"/>
      <x:c r="U109" s="34" t="str"/>
      <x:c r="V109" s="34" t="str">
        <x:v>ELTS Build Plan P2.8</x:v>
      </x:c>
    </x:row>
    <x:row r="110">
      <x:c r="A110" s="10" t="n">
        <x:v>105</x:v>
      </x:c>
      <x:c r="B110" s="10" t="str">
        <x:v>P2.8.V001</x:v>
      </x:c>
      <x:c r="C110" s="10" t="str">
        <x:v>P2.8</x:v>
      </x:c>
      <x:c r="D110" s="10" t="str">
        <x:v>P2</x:v>
      </x:c>
      <x:c r="E110" s="10" t="str">
        <x:v>G2</x:v>
      </x:c>
      <x:c r="F110" s="10" t="str">
        <x:v>WS-C, WS-F</x:v>
      </x:c>
      <x:c r="G110" s="10" t="str">
        <x:v>verification</x:v>
      </x:c>
      <x:c r="H110" s="10" t="str">
        <x:v>Verify P2.8 against its completion criteria and attach evidence.</x:v>
      </x:c>
      <x:c r="I110" s="10" t="str">
        <x:v>P2.8.S001</x:v>
      </x:c>
      <x:c r="J110" s="10" t="str"/>
      <x:c r="K110" s="10" t="str">
        <x:v>runs on the P2.5 soak output.</x:v>
      </x:c>
      <x:c r="L110" s="10" t="str">
        <x:v>runs on the P2.5 soak output.</x:v>
      </x:c>
      <x:c r="M110" s="10" t="str">
        <x:v>analysis ingest package and fixtures</x:v>
      </x:c>
      <x:c r="N110" s="10" t="str">
        <x:v>not_started</x:v>
      </x:c>
      <x:c r="O110" s="10" t="str">
        <x:v>Developer</x:v>
      </x:c>
      <x:c r="P110" s="10" t="str">
        <x:v>automated_check</x:v>
      </x:c>
      <x:c r="Q110" s="10" t="str">
        <x:v>p2/P2.8-ingest-script-first-version</x:v>
      </x:c>
      <x:c r="R110" s="35" t="str"/>
      <x:c r="S110" s="35" t="str"/>
      <x:c r="T110" s="10" t="str"/>
      <x:c r="U110" s="10" t="str"/>
      <x:c r="V110" s="10" t="str">
        <x:v>ELTS Build Plan P2.8</x:v>
      </x:c>
    </x:row>
    <x:row r="111">
      <x:c r="A111" s="34" t="n">
        <x:v>106</x:v>
      </x:c>
      <x:c r="B111" s="34" t="str">
        <x:v>P2.9.S001</x:v>
      </x:c>
      <x:c r="C111" s="34" t="str">
        <x:v>P2.9</x:v>
      </x:c>
      <x:c r="D111" s="34" t="str">
        <x:v>P2</x:v>
      </x:c>
      <x:c r="E111" s="34" t="str">
        <x:v>G2</x:v>
      </x:c>
      <x:c r="F111" s="34" t="str">
        <x:v>WS-C</x:v>
      </x:c>
      <x:c r="G111" s="34" t="str">
        <x:v>decision</x:v>
      </x:c>
      <x:c r="H111" s="34" t="str">
        <x:v>An ITrackingSource implementation that generates plausible head and weapon motion (slow sway, occasional scripted dropouts, scripted trigger presses) at 250 Hz. Selected by tracking.source: "synthetic" in rig.json. Used for all tests that do not need hardware and for developing before trackers arrive.</x:v>
      </x:c>
      <x:c r="I111" s="34" t="str">
        <x:v>P2.1, P2.2</x:v>
      </x:c>
      <x:c r="J111" s="34" t="str"/>
      <x:c r="K111" s="34" t="str">
        <x:v>whole pipeline runs headless on a laptop with no SteamVR.</x:v>
      </x:c>
      <x:c r="L111" s="34" t="str">
        <x:v>whole pipeline runs headless on a laptop with no SteamVR.</x:v>
      </x:c>
      <x:c r="M111" s="34" t="str">
        <x:v>synthetic tracking source and tests</x:v>
      </x:c>
      <x:c r="N111" s="34" t="str">
        <x:v>not_started</x:v>
      </x:c>
      <x:c r="O111" s="34" t="str">
        <x:v>Developer</x:v>
      </x:c>
      <x:c r="P111" s="34" t="str">
        <x:v>agent</x:v>
      </x:c>
      <x:c r="Q111" s="34" t="str">
        <x:v>p2/P2.9-synthetic-pose-source</x:v>
      </x:c>
      <x:c r="R111" s="36" t="str"/>
      <x:c r="S111" s="36" t="str"/>
      <x:c r="T111" s="34" t="str"/>
      <x:c r="U111" s="34" t="str"/>
      <x:c r="V111" s="34" t="str">
        <x:v>ELTS Build Plan P2.9</x:v>
      </x:c>
    </x:row>
    <x:row r="112">
      <x:c r="A112" s="10" t="n">
        <x:v>107</x:v>
      </x:c>
      <x:c r="B112" s="10" t="str">
        <x:v>P2.9.V001</x:v>
      </x:c>
      <x:c r="C112" s="10" t="str">
        <x:v>P2.9</x:v>
      </x:c>
      <x:c r="D112" s="10" t="str">
        <x:v>P2</x:v>
      </x:c>
      <x:c r="E112" s="10" t="str">
        <x:v>G2</x:v>
      </x:c>
      <x:c r="F112" s="10" t="str">
        <x:v>WS-C</x:v>
      </x:c>
      <x:c r="G112" s="10" t="str">
        <x:v>verification</x:v>
      </x:c>
      <x:c r="H112" s="10" t="str">
        <x:v>Verify P2.9 against its completion criteria and attach evidence.</x:v>
      </x:c>
      <x:c r="I112" s="10" t="str">
        <x:v>P2.9.S001</x:v>
      </x:c>
      <x:c r="J112" s="10" t="str"/>
      <x:c r="K112" s="10" t="str">
        <x:v>whole pipeline runs headless on a laptop with no SteamVR.</x:v>
      </x:c>
      <x:c r="L112" s="10" t="str">
        <x:v>whole pipeline runs headless on a laptop with no SteamVR.</x:v>
      </x:c>
      <x:c r="M112" s="10" t="str">
        <x:v>synthetic tracking source and tests</x:v>
      </x:c>
      <x:c r="N112" s="10" t="str">
        <x:v>not_started</x:v>
      </x:c>
      <x:c r="O112" s="10" t="str">
        <x:v>Developer</x:v>
      </x:c>
      <x:c r="P112" s="10" t="str">
        <x:v>automated_check</x:v>
      </x:c>
      <x:c r="Q112" s="10" t="str">
        <x:v>p2/P2.9-synthetic-pose-source</x:v>
      </x:c>
      <x:c r="R112" s="35" t="str"/>
      <x:c r="S112" s="35" t="str"/>
      <x:c r="T112" s="10" t="str"/>
      <x:c r="U112" s="10" t="str"/>
      <x:c r="V112" s="10" t="str">
        <x:v>ELTS Build Plan P2.9</x:v>
      </x:c>
    </x:row>
    <x:row r="113">
      <x:c r="A113" s="34" t="n">
        <x:v>108</x:v>
      </x:c>
      <x:c r="B113" s="34" t="str">
        <x:v>P3.1.S001</x:v>
      </x:c>
      <x:c r="C113" s="34" t="str">
        <x:v>P3.1</x:v>
      </x:c>
      <x:c r="D113" s="34" t="str">
        <x:v>P3</x:v>
      </x:c>
      <x:c r="E113" s="34" t="str">
        <x:v>G3</x:v>
      </x:c>
      <x:c r="F113" s="34" t="str">
        <x:v>WS-C, WS-E</x:v>
      </x:c>
      <x:c r="G113" s="34" t="str">
        <x:v>verification</x:v>
      </x:c>
      <x:c r="H113" s="34" t="str">
        <x:v>Until the corner-probe wizard exists (Phase 5), enter O, U, V into calibration_rig.json from tape-measure measurements of the interim display in the tracking frame (put a tracker at the top-left corner and read its position; repeat for the other two corners). Crude, but sufficient to develop against.</x:v>
      </x:c>
      <x:c r="I113" s="34" t="str">
        <x:v>G2, P1.14</x:v>
      </x:c>
      <x:c r="J113" s="34" t="str"/>
      <x:c r="K113" s="34" t="str">
        <x:v>ScreenPlane loaded and drawn in the operator view at roughly the right place.</x:v>
      </x:c>
      <x:c r="L113" s="34" t="str">
        <x:v>ScreenPlane loaded and drawn in the operator view at roughly the right place.</x:v>
      </x:c>
      <x:c r="M113" s="34" t="str">
        <x:v>rig calibration development config</x:v>
      </x:c>
      <x:c r="N113" s="34" t="str">
        <x:v>not_started</x:v>
      </x:c>
      <x:c r="O113" s="34" t="str">
        <x:v>Developer</x:v>
      </x:c>
      <x:c r="P113" s="34" t="str">
        <x:v>agent</x:v>
      </x:c>
      <x:c r="Q113" s="34" t="str">
        <x:v>p3/P3.1-interim-screen-plane</x:v>
      </x:c>
      <x:c r="R113" s="36" t="str"/>
      <x:c r="S113" s="36" t="str"/>
      <x:c r="T113" s="34" t="str"/>
      <x:c r="U113" s="34" t="str"/>
      <x:c r="V113" s="34" t="str">
        <x:v>ELTS Build Plan P3.1</x:v>
      </x:c>
    </x:row>
    <x:row r="114">
      <x:c r="A114" s="10" t="n">
        <x:v>109</x:v>
      </x:c>
      <x:c r="B114" s="10" t="str">
        <x:v>P3.1.V001</x:v>
      </x:c>
      <x:c r="C114" s="10" t="str">
        <x:v>P3.1</x:v>
      </x:c>
      <x:c r="D114" s="10" t="str">
        <x:v>P3</x:v>
      </x:c>
      <x:c r="E114" s="10" t="str">
        <x:v>G3</x:v>
      </x:c>
      <x:c r="F114" s="10" t="str">
        <x:v>WS-C, WS-E</x:v>
      </x:c>
      <x:c r="G114" s="10" t="str">
        <x:v>verification</x:v>
      </x:c>
      <x:c r="H114" s="10" t="str">
        <x:v>Verify P3.1 against its completion criteria and attach evidence.</x:v>
      </x:c>
      <x:c r="I114" s="10" t="str">
        <x:v>P3.1.S001</x:v>
      </x:c>
      <x:c r="J114" s="10" t="str"/>
      <x:c r="K114" s="10" t="str">
        <x:v>ScreenPlane loaded and drawn in the operator view at roughly the right place.</x:v>
      </x:c>
      <x:c r="L114" s="10" t="str">
        <x:v>ScreenPlane loaded and drawn in the operator view at roughly the right place.</x:v>
      </x:c>
      <x:c r="M114" s="10" t="str">
        <x:v>rig calibration development config</x:v>
      </x:c>
      <x:c r="N114" s="10" t="str">
        <x:v>not_started</x:v>
      </x:c>
      <x:c r="O114" s="10" t="str">
        <x:v>Developer</x:v>
      </x:c>
      <x:c r="P114" s="10" t="str">
        <x:v>automated_check</x:v>
      </x:c>
      <x:c r="Q114" s="10" t="str">
        <x:v>p3/P3.1-interim-screen-plane</x:v>
      </x:c>
      <x:c r="R114" s="35" t="str"/>
      <x:c r="S114" s="35" t="str"/>
      <x:c r="T114" s="10" t="str"/>
      <x:c r="U114" s="10" t="str"/>
      <x:c r="V114" s="10" t="str">
        <x:v>ELTS Build Plan P3.1</x:v>
      </x:c>
    </x:row>
    <x:row r="115">
      <x:c r="A115" s="34" t="n">
        <x:v>110</x:v>
      </x:c>
      <x:c r="B115" s="34" t="str">
        <x:v>P3.2.S001</x:v>
      </x:c>
      <x:c r="C115" s="34" t="str">
        <x:v>P3.2</x:v>
      </x:c>
      <x:c r="D115" s="34" t="str">
        <x:v>P3</x:v>
      </x:c>
      <x:c r="E115" s="34" t="str">
        <x:v>G3</x:v>
      </x:c>
      <x:c r="F115" s="34" t="str">
        <x:v>WS-C, WS-E</x:v>
      </x:c>
      <x:c r="G115" s="34" t="str">
        <x:v>verification</x:v>
      </x:c>
      <x:c r="H115" s="34" t="str">
        <x:v>OffAxisCamera component: each LateUpdate, read the rendering head pose, compute the eye position (head pose + eye offset — hand-measured per Appendix C.4 and typed into calibration.json until the Phase 5 wizard exists), compute the generalized perspective projection from the eye and the three screen corners (Appendix F.2), set camera.projectionMatrix, position the camera at the eye and orient it toward the screen. Near plane = distance to screen minus a margin (config); far plane from config.</x:v>
      </x:c>
      <x:c r="I115" s="34" t="str">
        <x:v>P2.3, P2.4, P3.1</x:v>
      </x:c>
      <x:c r="J115" s="34" t="str"/>
      <x:c r="K115" s="34" t="str">
        <x:v>Change or evidence attributable to P3.2.S001</x:v>
      </x:c>
      <x:c r="L115" s="34" t="str">
        <x:v>Review the changed artifact and run the nearest relevant automated or lab check.</x:v>
      </x:c>
      <x:c r="M115" s="34" t="str">
        <x:v>off-axis camera and projection tests</x:v>
      </x:c>
      <x:c r="N115" s="34" t="str">
        <x:v>not_started</x:v>
      </x:c>
      <x:c r="O115" s="34" t="str">
        <x:v>Developer</x:v>
      </x:c>
      <x:c r="P115" s="34" t="str">
        <x:v>agent</x:v>
      </x:c>
      <x:c r="Q115" s="34" t="str">
        <x:v>p3/P3.2-off-axis-stimulus-camera</x:v>
      </x:c>
      <x:c r="R115" s="36" t="str"/>
      <x:c r="S115" s="36" t="str"/>
      <x:c r="T115" s="34" t="str"/>
      <x:c r="U115" s="34" t="str"/>
      <x:c r="V115" s="34" t="str">
        <x:v>ELTS Build Plan P3.2</x:v>
      </x:c>
    </x:row>
    <x:row r="116">
      <x:c r="A116" s="10" t="n">
        <x:v>111</x:v>
      </x:c>
      <x:c r="B116" s="10" t="str">
        <x:v>P3.2.S002</x:v>
      </x:c>
      <x:c r="C116" s="10" t="str">
        <x:v>P3.2</x:v>
      </x:c>
      <x:c r="D116" s="10" t="str">
        <x:v>P3</x:v>
      </x:c>
      <x:c r="E116" s="10" t="str">
        <x:v>G3</x:v>
      </x:c>
      <x:c r="F116" s="10" t="str">
        <x:v>WS-C, WS-E</x:v>
      </x:c>
      <x:c r="G116" s="10" t="str">
        <x:v>verification</x:v>
      </x:c>
      <x:c r="H116" s="10" t="str">
        <x:v>Unit test (mandatory, Appendix F.2.1): for random eye positions, the three physical corners must project to NDC (−1,−1), (1,−1), (−1,1). Sign errors in transcribing the projection are the most common failure here; the test is the arbiter, not the transcription.</x:v>
      </x:c>
      <x:c r="I116" s="10" t="str">
        <x:v>P3.2.S001</x:v>
      </x:c>
      <x:c r="J116" s="10" t="str"/>
      <x:c r="K116" s="10" t="str">
        <x:v>Change or evidence attributable to P3.2.S002</x:v>
      </x:c>
      <x:c r="L116" s="10" t="str">
        <x:v>Review the changed artifact and run the nearest relevant automated or lab check.</x:v>
      </x:c>
      <x:c r="M116" s="10" t="str">
        <x:v>off-axis camera and projection tests</x:v>
      </x:c>
      <x:c r="N116" s="10" t="str">
        <x:v>not_started</x:v>
      </x:c>
      <x:c r="O116" s="10" t="str">
        <x:v>Developer</x:v>
      </x:c>
      <x:c r="P116" s="10" t="str">
        <x:v>agent</x:v>
      </x:c>
      <x:c r="Q116" s="10" t="str">
        <x:v>p3/P3.2-off-axis-stimulus-camera</x:v>
      </x:c>
      <x:c r="R116" s="35" t="str"/>
      <x:c r="S116" s="35" t="str"/>
      <x:c r="T116" s="10" t="str"/>
      <x:c r="U116" s="10" t="str"/>
      <x:c r="V116" s="10" t="str">
        <x:v>ELTS Build Plan P3.2</x:v>
      </x:c>
    </x:row>
    <x:row r="117">
      <x:c r="A117" s="34" t="n">
        <x:v>112</x:v>
      </x:c>
      <x:c r="B117" s="34" t="str">
        <x:v>P3.2.S003</x:v>
      </x:c>
      <x:c r="C117" s="34" t="str">
        <x:v>P3.2</x:v>
      </x:c>
      <x:c r="D117" s="34" t="str">
        <x:v>P3</x:v>
      </x:c>
      <x:c r="E117" s="34" t="str">
        <x:v>G3</x:v>
      </x:c>
      <x:c r="F117" s="34" t="str">
        <x:v>WS-C, WS-E</x:v>
      </x:c>
      <x:c r="G117" s="34" t="str">
        <x:v>execution</x:v>
      </x:c>
      <x:c r="H117" s="34" t="str">
        <x:v>Assigned to the participant display index from local.json (P1.10), rendering only the stimulus layer.</x:v>
      </x:c>
      <x:c r="I117" s="34" t="str">
        <x:v>P3.2.S002</x:v>
      </x:c>
      <x:c r="J117" s="34" t="str"/>
      <x:c r="K117" s="34" t="str">
        <x:v>unit test passes; moving the head tracker visibly shifts the perspective on the display.</x:v>
      </x:c>
      <x:c r="L117" s="34" t="str">
        <x:v>unit test passes; moving the head tracker visibly shifts the perspective on the display.</x:v>
      </x:c>
      <x:c r="M117" s="34" t="str">
        <x:v>off-axis camera and projection tests</x:v>
      </x:c>
      <x:c r="N117" s="34" t="str">
        <x:v>not_started</x:v>
      </x:c>
      <x:c r="O117" s="34" t="str">
        <x:v>Developer</x:v>
      </x:c>
      <x:c r="P117" s="34" t="str">
        <x:v>agent</x:v>
      </x:c>
      <x:c r="Q117" s="34" t="str">
        <x:v>p3/P3.2-off-axis-stimulus-camera</x:v>
      </x:c>
      <x:c r="R117" s="36" t="str"/>
      <x:c r="S117" s="36" t="str"/>
      <x:c r="T117" s="34" t="str"/>
      <x:c r="U117" s="34" t="str"/>
      <x:c r="V117" s="34" t="str">
        <x:v>ELTS Build Plan P3.2</x:v>
      </x:c>
    </x:row>
    <x:row r="118">
      <x:c r="A118" s="10" t="n">
        <x:v>113</x:v>
      </x:c>
      <x:c r="B118" s="10" t="str">
        <x:v>P3.2.V001</x:v>
      </x:c>
      <x:c r="C118" s="10" t="str">
        <x:v>P3.2</x:v>
      </x:c>
      <x:c r="D118" s="10" t="str">
        <x:v>P3</x:v>
      </x:c>
      <x:c r="E118" s="10" t="str">
        <x:v>G3</x:v>
      </x:c>
      <x:c r="F118" s="10" t="str">
        <x:v>WS-C, WS-E</x:v>
      </x:c>
      <x:c r="G118" s="10" t="str">
        <x:v>verification</x:v>
      </x:c>
      <x:c r="H118" s="10" t="str">
        <x:v>Verify P3.2 against its completion criteria and attach evidence.</x:v>
      </x:c>
      <x:c r="I118" s="10" t="str">
        <x:v>P3.2.S003</x:v>
      </x:c>
      <x:c r="J118" s="10" t="str"/>
      <x:c r="K118" s="10" t="str">
        <x:v>unit test passes; moving the head tracker visibly shifts the perspective on the display.</x:v>
      </x:c>
      <x:c r="L118" s="10" t="str">
        <x:v>unit test passes; moving the head tracker visibly shifts the perspective on the display.</x:v>
      </x:c>
      <x:c r="M118" s="10" t="str">
        <x:v>off-axis camera and projection tests</x:v>
      </x:c>
      <x:c r="N118" s="10" t="str">
        <x:v>not_started</x:v>
      </x:c>
      <x:c r="O118" s="10" t="str">
        <x:v>Developer</x:v>
      </x:c>
      <x:c r="P118" s="10" t="str">
        <x:v>automated_check</x:v>
      </x:c>
      <x:c r="Q118" s="10" t="str">
        <x:v>p3/P3.2-off-axis-stimulus-camera</x:v>
      </x:c>
      <x:c r="R118" s="35" t="str"/>
      <x:c r="S118" s="35" t="str"/>
      <x:c r="T118" s="10" t="str"/>
      <x:c r="U118" s="10" t="str"/>
      <x:c r="V118" s="10" t="str">
        <x:v>ELTS Build Plan P3.2</x:v>
      </x:c>
    </x:row>
    <x:row r="119">
      <x:c r="A119" s="34" t="n">
        <x:v>114</x:v>
      </x:c>
      <x:c r="B119" s="34" t="str">
        <x:v>P3.3.S001</x:v>
      </x:c>
      <x:c r="C119" s="34" t="str">
        <x:v>P3.3</x:v>
      </x:c>
      <x:c r="D119" s="34" t="str">
        <x:v>P3</x:v>
      </x:c>
      <x:c r="E119" s="34" t="str">
        <x:v>G3</x:v>
      </x:c>
      <x:c r="F119" s="34" t="str">
        <x:v>WS-C, WS-E</x:v>
      </x:c>
      <x:c r="G119" s="34" t="str">
        <x:v>implementation</x:v>
      </x:c>
      <x:c r="H119" s="34" t="str">
        <x:v>A low-detail virtual room behind the display plane at true scale (floor grid, back wall at a config distance, a few reference posts). Render virtual rods projecting perpendicular from each display corner, matching physical rods mounted on the display (§13.5, §5.5 "validation trick").</x:v>
      </x:c>
      <x:c r="I119" s="34" t="str">
        <x:v>P3.2, P1.13</x:v>
      </x:c>
      <x:c r="J119" s="34" t="str"/>
      <x:c r="K119" s="34" t="str">
        <x:v>from three viewing positions (center, 45° left, low), the virtual rods visually continue the physical rods.</x:v>
      </x:c>
      <x:c r="L119" s="34" t="str">
        <x:v>from three viewing positions (center, 45° left, low), the virtual rods visually continue the physical rods.</x:v>
      </x:c>
      <x:c r="M119" s="34" t="str">
        <x:v>virtual room and corner-rod evidence</x:v>
      </x:c>
      <x:c r="N119" s="34" t="str">
        <x:v>not_started</x:v>
      </x:c>
      <x:c r="O119" s="34" t="str">
        <x:v>Developer</x:v>
      </x:c>
      <x:c r="P119" s="34" t="str">
        <x:v>agent</x:v>
      </x:c>
      <x:c r="Q119" s="34" t="str">
        <x:v>p3/P3.3-virtual-room-and-corner-rods</x:v>
      </x:c>
      <x:c r="R119" s="36" t="str"/>
      <x:c r="S119" s="36" t="str"/>
      <x:c r="T119" s="34" t="str"/>
      <x:c r="U119" s="34" t="str"/>
      <x:c r="V119" s="34" t="str">
        <x:v>ELTS Build Plan P3.3</x:v>
      </x:c>
    </x:row>
    <x:row r="120">
      <x:c r="A120" s="10" t="n">
        <x:v>115</x:v>
      </x:c>
      <x:c r="B120" s="10" t="str">
        <x:v>P3.3.V001</x:v>
      </x:c>
      <x:c r="C120" s="10" t="str">
        <x:v>P3.3</x:v>
      </x:c>
      <x:c r="D120" s="10" t="str">
        <x:v>P3</x:v>
      </x:c>
      <x:c r="E120" s="10" t="str">
        <x:v>G3</x:v>
      </x:c>
      <x:c r="F120" s="10" t="str">
        <x:v>WS-C, WS-E</x:v>
      </x:c>
      <x:c r="G120" s="10" t="str">
        <x:v>verification</x:v>
      </x:c>
      <x:c r="H120" s="10" t="str">
        <x:v>Verify P3.3 against its completion criteria and attach evidence.</x:v>
      </x:c>
      <x:c r="I120" s="10" t="str">
        <x:v>P3.3.S001</x:v>
      </x:c>
      <x:c r="J120" s="10" t="str"/>
      <x:c r="K120" s="10" t="str">
        <x:v>from three viewing positions (center, 45° left, low), the virtual rods visually continue the physical rods.</x:v>
      </x:c>
      <x:c r="L120" s="10" t="str">
        <x:v>from three viewing positions (center, 45° left, low), the virtual rods visually continue the physical rods.</x:v>
      </x:c>
      <x:c r="M120" s="10" t="str">
        <x:v>virtual room and corner-rod evidence</x:v>
      </x:c>
      <x:c r="N120" s="10" t="str">
        <x:v>not_started</x:v>
      </x:c>
      <x:c r="O120" s="10" t="str">
        <x:v>Developer</x:v>
      </x:c>
      <x:c r="P120" s="10" t="str">
        <x:v>automated_check</x:v>
      </x:c>
      <x:c r="Q120" s="10" t="str">
        <x:v>p3/P3.3-virtual-room-and-corner-rods</x:v>
      </x:c>
      <x:c r="R120" s="35" t="str"/>
      <x:c r="S120" s="35" t="str"/>
      <x:c r="T120" s="10" t="str"/>
      <x:c r="U120" s="10" t="str"/>
      <x:c r="V120" s="10" t="str">
        <x:v>ELTS Build Plan P3.3</x:v>
      </x:c>
    </x:row>
    <x:row r="121">
      <x:c r="A121" s="34" t="n">
        <x:v>116</x:v>
      </x:c>
      <x:c r="B121" s="34" t="str">
        <x:v>P3.4.S001</x:v>
      </x:c>
      <x:c r="C121" s="34" t="str">
        <x:v>P3.4</x:v>
      </x:c>
      <x:c r="D121" s="34" t="str">
        <x:v>P3</x:v>
      </x:c>
      <x:c r="E121" s="34" t="str">
        <x:v>G3</x:v>
      </x:c>
      <x:c r="F121" s="34" t="str">
        <x:v>WS-C</x:v>
      </x:c>
      <x:c r="G121" s="34" t="str">
        <x:v>execution</x:v>
      </x:c>
      <x:c r="H121" s="34" t="str">
        <x:v>Second camera on the operator display index from local.json, with free orbit/pan/zoom (mouse), rendering everything in briefing §6.6:</x:v>
      </x:c>
      <x:c r="I121" s="34" t="str">
        <x:v>P2.3, P2.4, P3.1</x:v>
      </x:c>
      <x:c r="J121" s="34" t="str"/>
      <x:c r="K121" s="34" t="str">
        <x:v>Change or evidence attributable to P3.4.S001</x:v>
      </x:c>
      <x:c r="L121" s="34" t="str">
        <x:v>Review the changed artifact and run the nearest relevant automated or lab check.</x:v>
      </x:c>
      <x:c r="M121" s="34" t="str">
        <x:v>operator view</x:v>
      </x:c>
      <x:c r="N121" s="34" t="str">
        <x:v>not_started</x:v>
      </x:c>
      <x:c r="O121" s="34" t="str">
        <x:v>Developer</x:v>
      </x:c>
      <x:c r="P121" s="34" t="str">
        <x:v>agent</x:v>
      </x:c>
      <x:c r="Q121" s="34" t="str">
        <x:v>p3/P3.4-operator-debug-view</x:v>
      </x:c>
      <x:c r="R121" s="36" t="str"/>
      <x:c r="S121" s="36" t="str"/>
      <x:c r="T121" s="34" t="str"/>
      <x:c r="U121" s="34" t="str"/>
      <x:c r="V121" s="34" t="str">
        <x:v>ELTS Build Plan P3.4</x:v>
      </x:c>
    </x:row>
    <x:row r="122">
      <x:c r="A122" s="10" t="n">
        <x:v>117</x:v>
      </x:c>
      <x:c r="B122" s="10" t="str">
        <x:v>P3.4.S002</x:v>
      </x:c>
      <x:c r="C122" s="10" t="str">
        <x:v>P3.4</x:v>
      </x:c>
      <x:c r="D122" s="10" t="str">
        <x:v>P3</x:v>
      </x:c>
      <x:c r="E122" s="10" t="str">
        <x:v>G3</x:v>
      </x:c>
      <x:c r="F122" s="10" t="str">
        <x:v>WS-C</x:v>
      </x:c>
      <x:c r="G122" s="10" t="str">
        <x:v>implementation</x:v>
      </x:c>
      <x:c r="H122" s="10" t="str">
        <x:v>room geometry from config · display rectangle at calibrated pose · base station from its live OpenVR pose with a coverage-direction cone · both trackers as labeled axis gizmos at live poses · participant proxy at head pose with the eye position marked distinctly · weapon proxy · bore ray with screen-intersection marker and a distinct style when onScreen is false · muzzle-to-target ray with the live angular error as a numeric readout · view ray from the eye · the virtual target scene at true scale · the off-axis frustum as a wireframe from the eye through the four screen corners · tracking status per device, visually loud on dropout (e.g., the gizmo turns red and a banner appears).</x:v>
      </x:c>
      <x:c r="I122" s="10" t="str">
        <x:v>P3.4.S001</x:v>
      </x:c>
      <x:c r="J122" s="10" t="str"/>
      <x:c r="K122" s="10" t="str">
        <x:v>every listed element is present and updates live; dropout is unmissable.</x:v>
      </x:c>
      <x:c r="L122" s="10" t="str">
        <x:v>every listed element is present and updates live; dropout is unmissable.</x:v>
      </x:c>
      <x:c r="M122" s="10" t="str">
        <x:v>operator view</x:v>
      </x:c>
      <x:c r="N122" s="10" t="str">
        <x:v>not_started</x:v>
      </x:c>
      <x:c r="O122" s="10" t="str">
        <x:v>Developer</x:v>
      </x:c>
      <x:c r="P122" s="10" t="str">
        <x:v>agent</x:v>
      </x:c>
      <x:c r="Q122" s="10" t="str">
        <x:v>p3/P3.4-operator-debug-view</x:v>
      </x:c>
      <x:c r="R122" s="35" t="str"/>
      <x:c r="S122" s="35" t="str"/>
      <x:c r="T122" s="10" t="str"/>
      <x:c r="U122" s="10" t="str"/>
      <x:c r="V122" s="10" t="str">
        <x:v>ELTS Build Plan P3.4</x:v>
      </x:c>
    </x:row>
    <x:row r="123">
      <x:c r="A123" s="34" t="n">
        <x:v>118</x:v>
      </x:c>
      <x:c r="B123" s="34" t="str">
        <x:v>P3.4.V001</x:v>
      </x:c>
      <x:c r="C123" s="34" t="str">
        <x:v>P3.4</x:v>
      </x:c>
      <x:c r="D123" s="34" t="str">
        <x:v>P3</x:v>
      </x:c>
      <x:c r="E123" s="34" t="str">
        <x:v>G3</x:v>
      </x:c>
      <x:c r="F123" s="34" t="str">
        <x:v>WS-C</x:v>
      </x:c>
      <x:c r="G123" s="34" t="str">
        <x:v>verification</x:v>
      </x:c>
      <x:c r="H123" s="34" t="str">
        <x:v>Verify P3.4 against its completion criteria and attach evidence.</x:v>
      </x:c>
      <x:c r="I123" s="34" t="str">
        <x:v>P3.4.S002</x:v>
      </x:c>
      <x:c r="J123" s="34" t="str"/>
      <x:c r="K123" s="34" t="str">
        <x:v>every listed element is present and updates live; dropout is unmissable.</x:v>
      </x:c>
      <x:c r="L123" s="34" t="str">
        <x:v>every listed element is present and updates live; dropout is unmissable.</x:v>
      </x:c>
      <x:c r="M123" s="34" t="str">
        <x:v>operator view</x:v>
      </x:c>
      <x:c r="N123" s="34" t="str">
        <x:v>not_started</x:v>
      </x:c>
      <x:c r="O123" s="34" t="str">
        <x:v>Developer</x:v>
      </x:c>
      <x:c r="P123" s="34" t="str">
        <x:v>automated_check</x:v>
      </x:c>
      <x:c r="Q123" s="34" t="str">
        <x:v>p3/P3.4-operator-debug-view</x:v>
      </x:c>
      <x:c r="R123" s="36" t="str"/>
      <x:c r="S123" s="36" t="str"/>
      <x:c r="T123" s="34" t="str"/>
      <x:c r="U123" s="34" t="str"/>
      <x:c r="V123" s="34" t="str">
        <x:v>ELTS Build Plan P3.4</x:v>
      </x:c>
    </x:row>
    <x:row r="124">
      <x:c r="A124" s="10" t="n">
        <x:v>119</x:v>
      </x:c>
      <x:c r="B124" s="10" t="str">
        <x:v>P3.5.S001</x:v>
      </x:c>
      <x:c r="C124" s="10" t="str">
        <x:v>P3.5</x:v>
      </x:c>
      <x:c r="D124" s="10" t="str">
        <x:v>P3</x:v>
      </x:c>
      <x:c r="E124" s="10" t="str">
        <x:v>G3</x:v>
      </x:c>
      <x:c r="F124" s="10" t="str">
        <x:v>WS-C</x:v>
      </x:c>
      <x:c r="G124" s="10" t="str">
        <x:v>verification</x:v>
      </x:c>
      <x:c r="H124" s="10" t="str">
        <x:v>On launch: enumerate displays; if fewer than two, show a full-screen error on the only display and do not enter session mode. On success, show a colored identification splash on each display ("PARTICIPANT" in one color, "OPERATOR" in another) for the operator to confirm before proceeding. The operator can swap the assignment from the splash; the choice is saved in local.json (Appendix A.6), which is machine-specific and outside the P8.7 freeze.</x:v>
      </x:c>
      <x:c r="I124" s="10" t="str">
        <x:v>P1.10</x:v>
      </x:c>
      <x:c r="J124" s="10" t="str"/>
      <x:c r="K124" s="10" t="str">
        <x:v>single-display case refuses to run; swap works and persists.</x:v>
      </x:c>
      <x:c r="L124" s="10" t="str">
        <x:v>single-display case refuses to run; swap works and persists.</x:v>
      </x:c>
      <x:c r="M124" s="10" t="str">
        <x:v>display manager and local config</x:v>
      </x:c>
      <x:c r="N124" s="10" t="str">
        <x:v>not_started</x:v>
      </x:c>
      <x:c r="O124" s="10" t="str">
        <x:v>Developer</x:v>
      </x:c>
      <x:c r="P124" s="10" t="str">
        <x:v>agent</x:v>
      </x:c>
      <x:c r="Q124" s="10" t="str">
        <x:v>p3/P3.5-multi-display-startup-check</x:v>
      </x:c>
      <x:c r="R124" s="35" t="str"/>
      <x:c r="S124" s="35" t="str"/>
      <x:c r="T124" s="10" t="str"/>
      <x:c r="U124" s="10" t="str"/>
      <x:c r="V124" s="10" t="str">
        <x:v>ELTS Build Plan P3.5</x:v>
      </x:c>
    </x:row>
    <x:row r="125">
      <x:c r="A125" s="34" t="n">
        <x:v>120</x:v>
      </x:c>
      <x:c r="B125" s="34" t="str">
        <x:v>P3.5.V001</x:v>
      </x:c>
      <x:c r="C125" s="34" t="str">
        <x:v>P3.5</x:v>
      </x:c>
      <x:c r="D125" s="34" t="str">
        <x:v>P3</x:v>
      </x:c>
      <x:c r="E125" s="34" t="str">
        <x:v>G3</x:v>
      </x:c>
      <x:c r="F125" s="34" t="str">
        <x:v>WS-C</x:v>
      </x:c>
      <x:c r="G125" s="34" t="str">
        <x:v>verification</x:v>
      </x:c>
      <x:c r="H125" s="34" t="str">
        <x:v>Verify P3.5 against its completion criteria and attach evidence.</x:v>
      </x:c>
      <x:c r="I125" s="34" t="str">
        <x:v>P3.5.S001</x:v>
      </x:c>
      <x:c r="J125" s="34" t="str"/>
      <x:c r="K125" s="34" t="str">
        <x:v>single-display case refuses to run; swap works and persists.</x:v>
      </x:c>
      <x:c r="L125" s="34" t="str">
        <x:v>single-display case refuses to run; swap works and persists.</x:v>
      </x:c>
      <x:c r="M125" s="34" t="str">
        <x:v>display manager and local config</x:v>
      </x:c>
      <x:c r="N125" s="34" t="str">
        <x:v>not_started</x:v>
      </x:c>
      <x:c r="O125" s="34" t="str">
        <x:v>Developer</x:v>
      </x:c>
      <x:c r="P125" s="34" t="str">
        <x:v>automated_check</x:v>
      </x:c>
      <x:c r="Q125" s="34" t="str">
        <x:v>p3/P3.5-multi-display-startup-check</x:v>
      </x:c>
      <x:c r="R125" s="36" t="str"/>
      <x:c r="S125" s="36" t="str"/>
      <x:c r="T125" s="34" t="str"/>
      <x:c r="U125" s="34" t="str"/>
      <x:c r="V125" s="34" t="str">
        <x:v>ELTS Build Plan P3.5</x:v>
      </x:c>
    </x:row>
    <x:row r="126">
      <x:c r="A126" s="10" t="n">
        <x:v>121</x:v>
      </x:c>
      <x:c r="B126" s="10" t="str">
        <x:v>P3.6.S001</x:v>
      </x:c>
      <x:c r="C126" s="10" t="str">
        <x:v>P3.6</x:v>
      </x:c>
      <x:c r="D126" s="10" t="str">
        <x:v>P3</x:v>
      </x:c>
      <x:c r="E126" s="10" t="str">
        <x:v>G3</x:v>
      </x:c>
      <x:c r="F126" s="10" t="str">
        <x:v>WS-C, WS-E</x:v>
      </x:c>
      <x:c r="G126" s="10" t="str">
        <x:v>verification</x:v>
      </x:c>
      <x:c r="H126" s="10" t="str">
        <x:v>Add a config value for rendering-only prediction (default 0). Try 0, 10, 20 ms while a lab member moves their head; pick the smallest value that removes perceived swim. Confirm by diff that the logged head pose is unaffected.</x:v>
      </x:c>
      <x:c r="I126" s="10" t="str">
        <x:v>P3.2, P2.5</x:v>
      </x:c>
      <x:c r="J126" s="10" t="str"/>
      <x:c r="K126" s="10" t="str">
        <x:v>value chosen and documented; log verified unchanged.</x:v>
      </x:c>
      <x:c r="L126" s="10" t="str">
        <x:v>value chosen and documented; log verified unchanged.</x:v>
      </x:c>
      <x:c r="M126" s="10" t="str">
        <x:v>prediction decision record</x:v>
      </x:c>
      <x:c r="N126" s="10" t="str">
        <x:v>not_started</x:v>
      </x:c>
      <x:c r="O126" s="10" t="str">
        <x:v>Developer</x:v>
      </x:c>
      <x:c r="P126" s="10" t="str">
        <x:v>agent</x:v>
      </x:c>
      <x:c r="Q126" s="10" t="str">
        <x:v>p3/P3.6-head-pose-prediction-tuning-rendering-only</x:v>
      </x:c>
      <x:c r="R126" s="35" t="str"/>
      <x:c r="S126" s="35" t="str"/>
      <x:c r="T126" s="10" t="str"/>
      <x:c r="U126" s="10" t="str"/>
      <x:c r="V126" s="10" t="str">
        <x:v>ELTS Build Plan P3.6</x:v>
      </x:c>
    </x:row>
    <x:row r="127">
      <x:c r="A127" s="34" t="n">
        <x:v>122</x:v>
      </x:c>
      <x:c r="B127" s="34" t="str">
        <x:v>P3.6.V001</x:v>
      </x:c>
      <x:c r="C127" s="34" t="str">
        <x:v>P3.6</x:v>
      </x:c>
      <x:c r="D127" s="34" t="str">
        <x:v>P3</x:v>
      </x:c>
      <x:c r="E127" s="34" t="str">
        <x:v>G3</x:v>
      </x:c>
      <x:c r="F127" s="34" t="str">
        <x:v>WS-C, WS-E</x:v>
      </x:c>
      <x:c r="G127" s="34" t="str">
        <x:v>verification</x:v>
      </x:c>
      <x:c r="H127" s="34" t="str">
        <x:v>Verify P3.6 against its completion criteria and attach evidence.</x:v>
      </x:c>
      <x:c r="I127" s="34" t="str">
        <x:v>P3.6.S001</x:v>
      </x:c>
      <x:c r="J127" s="34" t="str"/>
      <x:c r="K127" s="34" t="str">
        <x:v>value chosen and documented; log verified unchanged.</x:v>
      </x:c>
      <x:c r="L127" s="34" t="str">
        <x:v>value chosen and documented; log verified unchanged.</x:v>
      </x:c>
      <x:c r="M127" s="34" t="str">
        <x:v>prediction decision record</x:v>
      </x:c>
      <x:c r="N127" s="34" t="str">
        <x:v>not_started</x:v>
      </x:c>
      <x:c r="O127" s="34" t="str">
        <x:v>Developer</x:v>
      </x:c>
      <x:c r="P127" s="34" t="str">
        <x:v>automated_check</x:v>
      </x:c>
      <x:c r="Q127" s="34" t="str">
        <x:v>p3/P3.6-head-pose-prediction-tuning-rendering-only</x:v>
      </x:c>
      <x:c r="R127" s="36" t="str"/>
      <x:c r="S127" s="36" t="str"/>
      <x:c r="T127" s="34" t="str"/>
      <x:c r="U127" s="34" t="str"/>
      <x:c r="V127" s="34" t="str">
        <x:v>ELTS Build Plan P3.6</x:v>
      </x:c>
    </x:row>
    <x:row r="128">
      <x:c r="A128" s="10" t="n">
        <x:v>123</x:v>
      </x:c>
      <x:c r="B128" s="10" t="str">
        <x:v>P3.7.S001</x:v>
      </x:c>
      <x:c r="C128" s="10" t="str">
        <x:v>P3.7</x:v>
      </x:c>
      <x:c r="D128" s="10" t="str">
        <x:v>P3</x:v>
      </x:c>
      <x:c r="E128" s="10" t="str">
        <x:v>G3</x:v>
      </x:c>
      <x:c r="F128" s="10" t="str">
        <x:v>WS-C</x:v>
      </x:c>
      <x:c r="G128" s="10" t="str">
        <x:v>implementation</x:v>
      </x:c>
      <x:c r="H128" s="10" t="str">
        <x:v>Profile the standalone build at the target refresh rate. Frame time must be stable with no hitches &gt; 1 frame over 5 minutes; log a FrameHitch event whenever deltaTime exceeds 1.5× the nominal frame. Keep the scene deliberately light.</x:v>
      </x:c>
      <x:c r="I128" s="10" t="str">
        <x:v>P3.2, P3.4</x:v>
      </x:c>
      <x:c r="J128" s="10" t="str"/>
      <x:c r="K128" s="10" t="str">
        <x:v>5-minute run with zero FrameHitch events at the display's refresh rate.</x:v>
      </x:c>
      <x:c r="L128" s="10" t="str">
        <x:v>5-minute run with zero FrameHitch events at the display's refresh rate.</x:v>
      </x:c>
      <x:c r="M128" s="10" t="str">
        <x:v>performance report</x:v>
      </x:c>
      <x:c r="N128" s="10" t="str">
        <x:v>not_started</x:v>
      </x:c>
      <x:c r="O128" s="10" t="str">
        <x:v>Developer</x:v>
      </x:c>
      <x:c r="P128" s="10" t="str">
        <x:v>agent</x:v>
      </x:c>
      <x:c r="Q128" s="10" t="str">
        <x:v>p3/P3.7-performance-baseline</x:v>
      </x:c>
      <x:c r="R128" s="35" t="str"/>
      <x:c r="S128" s="35" t="str"/>
      <x:c r="T128" s="10" t="str"/>
      <x:c r="U128" s="10" t="str"/>
      <x:c r="V128" s="10" t="str">
        <x:v>ELTS Build Plan P3.7</x:v>
      </x:c>
    </x:row>
    <x:row r="129">
      <x:c r="A129" s="34" t="n">
        <x:v>124</x:v>
      </x:c>
      <x:c r="B129" s="34" t="str">
        <x:v>P3.7.V001</x:v>
      </x:c>
      <x:c r="C129" s="34" t="str">
        <x:v>P3.7</x:v>
      </x:c>
      <x:c r="D129" s="34" t="str">
        <x:v>P3</x:v>
      </x:c>
      <x:c r="E129" s="34" t="str">
        <x:v>G3</x:v>
      </x:c>
      <x:c r="F129" s="34" t="str">
        <x:v>WS-C</x:v>
      </x:c>
      <x:c r="G129" s="34" t="str">
        <x:v>verification</x:v>
      </x:c>
      <x:c r="H129" s="34" t="str">
        <x:v>Verify P3.7 against its completion criteria and attach evidence.</x:v>
      </x:c>
      <x:c r="I129" s="34" t="str">
        <x:v>P3.7.S001</x:v>
      </x:c>
      <x:c r="J129" s="34" t="str"/>
      <x:c r="K129" s="34" t="str">
        <x:v>5-minute run with zero FrameHitch events at the display's refresh rate.</x:v>
      </x:c>
      <x:c r="L129" s="34" t="str">
        <x:v>5-minute run with zero FrameHitch events at the display's refresh rate.</x:v>
      </x:c>
      <x:c r="M129" s="34" t="str">
        <x:v>performance report</x:v>
      </x:c>
      <x:c r="N129" s="34" t="str">
        <x:v>not_started</x:v>
      </x:c>
      <x:c r="O129" s="34" t="str">
        <x:v>Developer</x:v>
      </x:c>
      <x:c r="P129" s="34" t="str">
        <x:v>automated_check</x:v>
      </x:c>
      <x:c r="Q129" s="34" t="str">
        <x:v>p3/P3.7-performance-baseline</x:v>
      </x:c>
      <x:c r="R129" s="36" t="str"/>
      <x:c r="S129" s="36" t="str"/>
      <x:c r="T129" s="34" t="str"/>
      <x:c r="U129" s="34" t="str"/>
      <x:c r="V129" s="34" t="str">
        <x:v>ELTS Build Plan P3.7</x:v>
      </x:c>
    </x:row>
    <x:row r="130">
      <x:c r="A130" s="10" t="n">
        <x:v>125</x:v>
      </x:c>
      <x:c r="B130" s="10" t="str">
        <x:v>P3.8.S001</x:v>
      </x:c>
      <x:c r="C130" s="10" t="str">
        <x:v>P3.8</x:v>
      </x:c>
      <x:c r="D130" s="10" t="str">
        <x:v>P3</x:v>
      </x:c>
      <x:c r="E130" s="10" t="str">
        <x:v>G3</x:v>
      </x:c>
      <x:c r="F130" s="10" t="str">
        <x:v>WS-C</x:v>
      </x:c>
      <x:c r="G130" s="10" t="str">
        <x:v>execution</x:v>
      </x:c>
      <x:c r="H130" s="10" t="str">
        <x:v>Load a participant folder and drive the operator view from samples.csv and targets.csv with play/pause/scrub. Reuses all the same gizmos. Built now because it pays for itself in every later debugging session.</x:v>
      </x:c>
      <x:c r="I130" s="10" t="str">
        <x:v>P2.5, P3.4</x:v>
      </x:c>
      <x:c r="J130" s="10" t="str"/>
      <x:c r="K130" s="10" t="str">
        <x:v>a logged session from P2.5 replays in the operator view.</x:v>
      </x:c>
      <x:c r="L130" s="10" t="str">
        <x:v>a logged session from P2.5 replays in the operator view.</x:v>
      </x:c>
      <x:c r="M130" s="10" t="str">
        <x:v>replay module</x:v>
      </x:c>
      <x:c r="N130" s="10" t="str">
        <x:v>not_started</x:v>
      </x:c>
      <x:c r="O130" s="10" t="str">
        <x:v>Developer</x:v>
      </x:c>
      <x:c r="P130" s="10" t="str">
        <x:v>agent</x:v>
      </x:c>
      <x:c r="Q130" s="10" t="str">
        <x:v>p3/P3.8-replay-mode-minimum-version</x:v>
      </x:c>
      <x:c r="R130" s="35" t="str"/>
      <x:c r="S130" s="35" t="str"/>
      <x:c r="T130" s="10" t="str"/>
      <x:c r="U130" s="10" t="str"/>
      <x:c r="V130" s="10" t="str">
        <x:v>ELTS Build Plan P3.8</x:v>
      </x:c>
    </x:row>
    <x:row r="131">
      <x:c r="A131" s="34" t="n">
        <x:v>126</x:v>
      </x:c>
      <x:c r="B131" s="34" t="str">
        <x:v>P3.8.V001</x:v>
      </x:c>
      <x:c r="C131" s="34" t="str">
        <x:v>P3.8</x:v>
      </x:c>
      <x:c r="D131" s="34" t="str">
        <x:v>P3</x:v>
      </x:c>
      <x:c r="E131" s="34" t="str">
        <x:v>G3</x:v>
      </x:c>
      <x:c r="F131" s="34" t="str">
        <x:v>WS-C</x:v>
      </x:c>
      <x:c r="G131" s="34" t="str">
        <x:v>verification</x:v>
      </x:c>
      <x:c r="H131" s="34" t="str">
        <x:v>Verify P3.8 against its completion criteria and attach evidence.</x:v>
      </x:c>
      <x:c r="I131" s="34" t="str">
        <x:v>P3.8.S001</x:v>
      </x:c>
      <x:c r="J131" s="34" t="str"/>
      <x:c r="K131" s="34" t="str">
        <x:v>a logged session from P2.5 replays in the operator view.</x:v>
      </x:c>
      <x:c r="L131" s="34" t="str">
        <x:v>a logged session from P2.5 replays in the operator view.</x:v>
      </x:c>
      <x:c r="M131" s="34" t="str">
        <x:v>replay module</x:v>
      </x:c>
      <x:c r="N131" s="34" t="str">
        <x:v>not_started</x:v>
      </x:c>
      <x:c r="O131" s="34" t="str">
        <x:v>Developer</x:v>
      </x:c>
      <x:c r="P131" s="34" t="str">
        <x:v>automated_check</x:v>
      </x:c>
      <x:c r="Q131" s="34" t="str">
        <x:v>p3/P3.8-replay-mode-minimum-version</x:v>
      </x:c>
      <x:c r="R131" s="36" t="str"/>
      <x:c r="S131" s="36" t="str"/>
      <x:c r="T131" s="34" t="str"/>
      <x:c r="U131" s="34" t="str"/>
      <x:c r="V131" s="34" t="str">
        <x:v>ELTS Build Plan P3.8</x:v>
      </x:c>
    </x:row>
    <x:row r="132">
      <x:c r="A132" s="10" t="n">
        <x:v>127</x:v>
      </x:c>
      <x:c r="B132" s="10" t="str">
        <x:v>P4.1.S001</x:v>
      </x:c>
      <x:c r="C132" s="10" t="str">
        <x:v>P4.1</x:v>
      </x:c>
      <x:c r="D132" s="10" t="str">
        <x:v>P4</x:v>
      </x:c>
      <x:c r="E132" s="10" t="str">
        <x:v>G4</x:v>
      </x:c>
      <x:c r="F132" s="10" t="str">
        <x:v>WS-C</x:v>
      </x:c>
      <x:c r="G132" s="10" t="str">
        <x:v>execution</x:v>
      </x:c>
      <x:c r="H132" s="10" t="str">
        <x:v>JSON (Appendix A.3) describing: target prefab/shape and radius; spawn rule and spawn volume (world-space box behind the display, config); max simultaneous targets; target lifetime; respawn delay; movement behavior name + parameters; shot model name + parameters; scoring rule name; RNG seed policy (per-block seed = hash(participant, block) unless overridden). Every value the investigators may want to change is here, none in code.</x:v>
      </x:c>
      <x:c r="I132" s="10" t="str">
        <x:v>G3</x:v>
      </x:c>
      <x:c r="J132" s="10" t="str"/>
      <x:c r="K132" s="10" t="str">
        <x:v>two scenario files (fixed.json, moving.json) load and validate.</x:v>
      </x:c>
      <x:c r="L132" s="10" t="str">
        <x:v>two scenario files (fixed.json, moving.json) load and validate.</x:v>
      </x:c>
      <x:c r="M132" s="10" t="str">
        <x:v>config/study/scenarios and schemas</x:v>
      </x:c>
      <x:c r="N132" s="10" t="str">
        <x:v>not_started</x:v>
      </x:c>
      <x:c r="O132" s="10" t="str">
        <x:v>Developer</x:v>
      </x:c>
      <x:c r="P132" s="10" t="str">
        <x:v>agent</x:v>
      </x:c>
      <x:c r="Q132" s="10" t="str">
        <x:v>p4/P4.1-scenario-definition-file</x:v>
      </x:c>
      <x:c r="R132" s="35" t="str"/>
      <x:c r="S132" s="35" t="str"/>
      <x:c r="T132" s="10" t="str"/>
      <x:c r="U132" s="10" t="str"/>
      <x:c r="V132" s="10" t="str">
        <x:v>ELTS Build Plan P4.1</x:v>
      </x:c>
    </x:row>
    <x:row r="133">
      <x:c r="A133" s="34" t="n">
        <x:v>128</x:v>
      </x:c>
      <x:c r="B133" s="34" t="str">
        <x:v>P4.1.V001</x:v>
      </x:c>
      <x:c r="C133" s="34" t="str">
        <x:v>P4.1</x:v>
      </x:c>
      <x:c r="D133" s="34" t="str">
        <x:v>P4</x:v>
      </x:c>
      <x:c r="E133" s="34" t="str">
        <x:v>G4</x:v>
      </x:c>
      <x:c r="F133" s="34" t="str">
        <x:v>WS-C</x:v>
      </x:c>
      <x:c r="G133" s="34" t="str">
        <x:v>verification</x:v>
      </x:c>
      <x:c r="H133" s="34" t="str">
        <x:v>Verify P4.1 against its completion criteria and attach evidence.</x:v>
      </x:c>
      <x:c r="I133" s="34" t="str">
        <x:v>P4.1.S001</x:v>
      </x:c>
      <x:c r="J133" s="34" t="str"/>
      <x:c r="K133" s="34" t="str">
        <x:v>two scenario files (fixed.json, moving.json) load and validate.</x:v>
      </x:c>
      <x:c r="L133" s="34" t="str">
        <x:v>two scenario files (fixed.json, moving.json) load and validate.</x:v>
      </x:c>
      <x:c r="M133" s="34" t="str">
        <x:v>config/study/scenarios and schemas</x:v>
      </x:c>
      <x:c r="N133" s="34" t="str">
        <x:v>not_started</x:v>
      </x:c>
      <x:c r="O133" s="34" t="str">
        <x:v>Developer</x:v>
      </x:c>
      <x:c r="P133" s="34" t="str">
        <x:v>automated_check</x:v>
      </x:c>
      <x:c r="Q133" s="34" t="str">
        <x:v>p4/P4.1-scenario-definition-file</x:v>
      </x:c>
      <x:c r="R133" s="36" t="str"/>
      <x:c r="S133" s="36" t="str"/>
      <x:c r="T133" s="34" t="str"/>
      <x:c r="U133" s="34" t="str"/>
      <x:c r="V133" s="34" t="str">
        <x:v>ELTS Build Plan P4.1</x:v>
      </x:c>
    </x:row>
    <x:row r="134">
      <x:c r="A134" s="10" t="n">
        <x:v>129</x:v>
      </x:c>
      <x:c r="B134" s="10" t="str">
        <x:v>P4.2.S001</x:v>
      </x:c>
      <x:c r="C134" s="10" t="str">
        <x:v>P4.2</x:v>
      </x:c>
      <x:c r="D134" s="10" t="str">
        <x:v>P4</x:v>
      </x:c>
      <x:c r="E134" s="10" t="str">
        <x:v>G4</x:v>
      </x:c>
      <x:c r="F134" s="10" t="str">
        <x:v>WS-C</x:v>
      </x:c>
      <x:c r="G134" s="10" t="str">
        <x:v>execution</x:v>
      </x:c>
      <x:c r="H134" s="10" t="str">
        <x:v>World-space object with id, position, velocity, radius, state (Spawned → Active → Destroyed/Despawned), spawn time. Renders in the stimulus layer only. Contributes to the per-frame target snapshot (P2.7) and to targets.csv every frame with its projected u, v under the current head pose and its visible flag (Appendix B.2). No screen coordinate is ever stored on the target itself.</x:v>
      </x:c>
      <x:c r="I134" s="10" t="str">
        <x:v>P4.1, P2.7</x:v>
      </x:c>
      <x:c r="J134" s="10" t="str"/>
      <x:c r="K134" s="10" t="str">
        <x:v>a target's u, v in the log change when only the head moves.</x:v>
      </x:c>
      <x:c r="L134" s="10" t="str">
        <x:v>a target's u, v in the log change when only the head moves.</x:v>
      </x:c>
      <x:c r="M134" s="10" t="str">
        <x:v>Code, documentation, test evidence, or lab evidence named in the task</x:v>
      </x:c>
      <x:c r="N134" s="10" t="str">
        <x:v>not_started</x:v>
      </x:c>
      <x:c r="O134" s="10" t="str">
        <x:v>Developer</x:v>
      </x:c>
      <x:c r="P134" s="10" t="str">
        <x:v>agent</x:v>
      </x:c>
      <x:c r="Q134" s="10" t="str">
        <x:v>p4/P4.2-target-entity</x:v>
      </x:c>
      <x:c r="R134" s="35" t="str"/>
      <x:c r="S134" s="35" t="str"/>
      <x:c r="T134" s="10" t="str"/>
      <x:c r="U134" s="10" t="str"/>
      <x:c r="V134" s="10" t="str">
        <x:v>ELTS Build Plan P4.2</x:v>
      </x:c>
    </x:row>
    <x:row r="135">
      <x:c r="A135" s="34" t="n">
        <x:v>130</x:v>
      </x:c>
      <x:c r="B135" s="34" t="str">
        <x:v>P4.2.V001</x:v>
      </x:c>
      <x:c r="C135" s="34" t="str">
        <x:v>P4.2</x:v>
      </x:c>
      <x:c r="D135" s="34" t="str">
        <x:v>P4</x:v>
      </x:c>
      <x:c r="E135" s="34" t="str">
        <x:v>G4</x:v>
      </x:c>
      <x:c r="F135" s="34" t="str">
        <x:v>WS-C</x:v>
      </x:c>
      <x:c r="G135" s="34" t="str">
        <x:v>verification</x:v>
      </x:c>
      <x:c r="H135" s="34" t="str">
        <x:v>Verify P4.2 against its completion criteria and attach evidence.</x:v>
      </x:c>
      <x:c r="I135" s="34" t="str">
        <x:v>P4.2.S001</x:v>
      </x:c>
      <x:c r="J135" s="34" t="str"/>
      <x:c r="K135" s="34" t="str">
        <x:v>a target's u, v in the log change when only the head moves.</x:v>
      </x:c>
      <x:c r="L135" s="34" t="str">
        <x:v>a target's u, v in the log change when only the head moves.</x:v>
      </x:c>
      <x:c r="M135" s="34" t="str">
        <x:v>Code, documentation, test evidence, or lab evidence named in the task</x:v>
      </x:c>
      <x:c r="N135" s="34" t="str">
        <x:v>not_started</x:v>
      </x:c>
      <x:c r="O135" s="34" t="str">
        <x:v>Developer</x:v>
      </x:c>
      <x:c r="P135" s="34" t="str">
        <x:v>automated_check</x:v>
      </x:c>
      <x:c r="Q135" s="34" t="str">
        <x:v>p4/P4.2-target-entity</x:v>
      </x:c>
      <x:c r="R135" s="36" t="str"/>
      <x:c r="S135" s="36" t="str"/>
      <x:c r="T135" s="34" t="str"/>
      <x:c r="U135" s="34" t="str"/>
      <x:c r="V135" s="34" t="str">
        <x:v>ELTS Build Plan P4.2</x:v>
      </x:c>
    </x:row>
    <x:row r="136">
      <x:c r="A136" s="10" t="n">
        <x:v>131</x:v>
      </x:c>
      <x:c r="B136" s="10" t="str">
        <x:v>P4.3.S001</x:v>
      </x:c>
      <x:c r="C136" s="10" t="str">
        <x:v>P4.3</x:v>
      </x:c>
      <x:c r="D136" s="10" t="str">
        <x:v>P4</x:v>
      </x:c>
      <x:c r="E136" s="10" t="str">
        <x:v>G4</x:v>
      </x:c>
      <x:c r="F136" s="10" t="str">
        <x:v>WS-C</x:v>
      </x:c>
      <x:c r="G136" s="10" t="str">
        <x:v>decision</x:v>
      </x:c>
      <x:c r="H136" s="10" t="str">
        <x:v>IMovementBehaviour with Fixed (no motion) and a placeholder RandomWalk (parameters: speed range, direction-change interval, bounds = spawn volume, seed). The actual moving-target specification is D-04 and is not decided here; the plug-in boundary is what matters. Each behavior is seeded from the block seed and logs it (BlockStart event), so trajectories are reproducible offline.</x:v>
      </x:c>
      <x:c r="I136" s="10" t="str">
        <x:v>P4.1, D-04</x:v>
      </x:c>
      <x:c r="J136" s="10" t="str">
        <x:v>D-04</x:v>
      </x:c>
      <x:c r="K136" s="10" t="str">
        <x:v>swapping the behavior name in the scenario file changes target motion with no code change; the seed round-trips.</x:v>
      </x:c>
      <x:c r="L136" s="10" t="str">
        <x:v>swapping the behavior name in the scenario file changes target motion with no code change; the seed round-trips.</x:v>
      </x:c>
      <x:c r="M136" s="10" t="str">
        <x:v>Code, documentation, test evidence, or lab evidence named in the task</x:v>
      </x:c>
      <x:c r="N136" s="10" t="str">
        <x:v>not_started</x:v>
      </x:c>
      <x:c r="O136" s="10" t="str">
        <x:v>Developer</x:v>
      </x:c>
      <x:c r="P136" s="10" t="str">
        <x:v>agent</x:v>
      </x:c>
      <x:c r="Q136" s="10" t="str">
        <x:v>p4/P4.3-movement-behavior-plug-ins</x:v>
      </x:c>
      <x:c r="R136" s="35" t="str"/>
      <x:c r="S136" s="35" t="str"/>
      <x:c r="T136" s="10" t="str"/>
      <x:c r="U136" s="10" t="str"/>
      <x:c r="V136" s="10" t="str">
        <x:v>ELTS Build Plan P4.3</x:v>
      </x:c>
    </x:row>
    <x:row r="137">
      <x:c r="A137" s="34" t="n">
        <x:v>132</x:v>
      </x:c>
      <x:c r="B137" s="34" t="str">
        <x:v>P4.3.V001</x:v>
      </x:c>
      <x:c r="C137" s="34" t="str">
        <x:v>P4.3</x:v>
      </x:c>
      <x:c r="D137" s="34" t="str">
        <x:v>P4</x:v>
      </x:c>
      <x:c r="E137" s="34" t="str">
        <x:v>G4</x:v>
      </x:c>
      <x:c r="F137" s="34" t="str">
        <x:v>WS-C</x:v>
      </x:c>
      <x:c r="G137" s="34" t="str">
        <x:v>verification</x:v>
      </x:c>
      <x:c r="H137" s="34" t="str">
        <x:v>Verify P4.3 against its completion criteria and attach evidence.</x:v>
      </x:c>
      <x:c r="I137" s="34" t="str">
        <x:v>P4.3.S001</x:v>
      </x:c>
      <x:c r="J137" s="34" t="str">
        <x:v>D-04</x:v>
      </x:c>
      <x:c r="K137" s="34" t="str">
        <x:v>swapping the behavior name in the scenario file changes target motion with no code change; the seed round-trips.</x:v>
      </x:c>
      <x:c r="L137" s="34" t="str">
        <x:v>swapping the behavior name in the scenario file changes target motion with no code change; the seed round-trips.</x:v>
      </x:c>
      <x:c r="M137" s="34" t="str">
        <x:v>Code, documentation, test evidence, or lab evidence named in the task</x:v>
      </x:c>
      <x:c r="N137" s="34" t="str">
        <x:v>not_started</x:v>
      </x:c>
      <x:c r="O137" s="34" t="str">
        <x:v>Developer</x:v>
      </x:c>
      <x:c r="P137" s="34" t="str">
        <x:v>automated_check</x:v>
      </x:c>
      <x:c r="Q137" s="34" t="str">
        <x:v>p4/P4.3-movement-behavior-plug-ins</x:v>
      </x:c>
      <x:c r="R137" s="36" t="str"/>
      <x:c r="S137" s="36" t="str"/>
      <x:c r="T137" s="34" t="str"/>
      <x:c r="U137" s="34" t="str"/>
      <x:c r="V137" s="34" t="str">
        <x:v>ELTS Build Plan P4.3</x:v>
      </x:c>
    </x:row>
    <x:row r="138">
      <x:c r="A138" s="10" t="n">
        <x:v>133</x:v>
      </x:c>
      <x:c r="B138" s="10" t="str">
        <x:v>P4.4.S001</x:v>
      </x:c>
      <x:c r="C138" s="10" t="str">
        <x:v>P4.4</x:v>
      </x:c>
      <x:c r="D138" s="10" t="str">
        <x:v>P4</x:v>
      </x:c>
      <x:c r="E138" s="10" t="str">
        <x:v>G4</x:v>
      </x:c>
      <x:c r="F138" s="10" t="str">
        <x:v>WS-C</x:v>
      </x:c>
      <x:c r="G138" s="10" t="str">
        <x:v>verification</x:v>
      </x:c>
      <x:c r="H138" s="10" t="str">
        <x:v>ISpawnRule with a default MaintainCount rule (keep N targets active; respawn after the configured delay at a random position in the spawn volume that is currently visible from the eye position — visibility check, not screen coordinates). Targets spawning outside the current view would be un-hittable and would corrupt the count DV.</x:v>
      </x:c>
      <x:c r="I138" s="10" t="str">
        <x:v>P4.1, P2.4</x:v>
      </x:c>
      <x:c r="J138" s="10" t="str"/>
      <x:c r="K138" s="10" t="str">
        <x:v>over a 5-minute run, 100% of spawns are visible at spawn time (checked from the log).</x:v>
      </x:c>
      <x:c r="L138" s="10" t="str">
        <x:v>over a 5-minute run, 100% of spawns are visible at spawn time (checked from the log).</x:v>
      </x:c>
      <x:c r="M138" s="10" t="str">
        <x:v>Code, documentation, test evidence, or lab evidence named in the task</x:v>
      </x:c>
      <x:c r="N138" s="10" t="str">
        <x:v>not_started</x:v>
      </x:c>
      <x:c r="O138" s="10" t="str">
        <x:v>Developer</x:v>
      </x:c>
      <x:c r="P138" s="10" t="str">
        <x:v>agent</x:v>
      </x:c>
      <x:c r="Q138" s="10" t="str">
        <x:v>p4/P4.4-spawn-rule-plug-in</x:v>
      </x:c>
      <x:c r="R138" s="35" t="str"/>
      <x:c r="S138" s="35" t="str"/>
      <x:c r="T138" s="10" t="str"/>
      <x:c r="U138" s="10" t="str"/>
      <x:c r="V138" s="10" t="str">
        <x:v>ELTS Build Plan P4.4</x:v>
      </x:c>
    </x:row>
    <x:row r="139">
      <x:c r="A139" s="34" t="n">
        <x:v>134</x:v>
      </x:c>
      <x:c r="B139" s="34" t="str">
        <x:v>P4.4.V001</x:v>
      </x:c>
      <x:c r="C139" s="34" t="str">
        <x:v>P4.4</x:v>
      </x:c>
      <x:c r="D139" s="34" t="str">
        <x:v>P4</x:v>
      </x:c>
      <x:c r="E139" s="34" t="str">
        <x:v>G4</x:v>
      </x:c>
      <x:c r="F139" s="34" t="str">
        <x:v>WS-C</x:v>
      </x:c>
      <x:c r="G139" s="34" t="str">
        <x:v>verification</x:v>
      </x:c>
      <x:c r="H139" s="34" t="str">
        <x:v>Verify P4.4 against its completion criteria and attach evidence.</x:v>
      </x:c>
      <x:c r="I139" s="34" t="str">
        <x:v>P4.4.S001</x:v>
      </x:c>
      <x:c r="J139" s="34" t="str"/>
      <x:c r="K139" s="34" t="str">
        <x:v>over a 5-minute run, 100% of spawns are visible at spawn time (checked from the log).</x:v>
      </x:c>
      <x:c r="L139" s="34" t="str">
        <x:v>over a 5-minute run, 100% of spawns are visible at spawn time (checked from the log).</x:v>
      </x:c>
      <x:c r="M139" s="34" t="str">
        <x:v>Code, documentation, test evidence, or lab evidence named in the task</x:v>
      </x:c>
      <x:c r="N139" s="34" t="str">
        <x:v>not_started</x:v>
      </x:c>
      <x:c r="O139" s="34" t="str">
        <x:v>Developer</x:v>
      </x:c>
      <x:c r="P139" s="34" t="str">
        <x:v>automated_check</x:v>
      </x:c>
      <x:c r="Q139" s="34" t="str">
        <x:v>p4/P4.4-spawn-rule-plug-in</x:v>
      </x:c>
      <x:c r="R139" s="36" t="str"/>
      <x:c r="S139" s="36" t="str"/>
      <x:c r="T139" s="34" t="str"/>
      <x:c r="U139" s="34" t="str"/>
      <x:c r="V139" s="34" t="str">
        <x:v>ELTS Build Plan P4.4</x:v>
      </x:c>
    </x:row>
    <x:row r="140">
      <x:c r="A140" s="10" t="n">
        <x:v>135</x:v>
      </x:c>
      <x:c r="B140" s="10" t="str">
        <x:v>P4.5.S001</x:v>
      </x:c>
      <x:c r="C140" s="10" t="str">
        <x:v>P4.5</x:v>
      </x:c>
      <x:c r="D140" s="10" t="str">
        <x:v>P4</x:v>
      </x:c>
      <x:c r="E140" s="10" t="str">
        <x:v>G4</x:v>
      </x:c>
      <x:c r="F140" s="10" t="str">
        <x:v>WS-C</x:v>
      </x:c>
      <x:c r="G140" s="10" t="str">
        <x:v>decision</x:v>
      </x:c>
      <x:c r="H140" s="10" t="str">
        <x:v>IShotModel with the default Hitscan: on each Shot event, take the sample captured at the trigger edge (bore origin/direction at that instant), intersect analytically with every active target (P2.4 primitives), select the nearest hit. Parameters, all in the scenario file with defaults that mean "no limit" until D-05 sets them: ammo, reloadSeconds, minShotIntervalSeconds, hitsToDestroy, requireVisibleToHit (default true: a target the participant cannot see through the window cannot be credited). Emits ShotFired with the full Appendix B.3 payload and TargetHit/TargetDestroyed as appropriate.</x:v>
      </x:c>
      <x:c r="I140" s="10" t="str">
        <x:v>P2.3, P2.4, P4.1, D-05</x:v>
      </x:c>
      <x:c r="J140" s="10" t="str">
        <x:v>D-05</x:v>
      </x:c>
      <x:c r="K140" s="10" t="str">
        <x:v>PlayMode test: scripted trigger at a known pose hits/misses known targets; parameters change behavior.</x:v>
      </x:c>
      <x:c r="L140" s="10" t="str">
        <x:v>PlayMode test: scripted trigger at a known pose hits/misses known targets; parameters change behavior.</x:v>
      </x:c>
      <x:c r="M140" s="10" t="str">
        <x:v>Code, documentation, test evidence, or lab evidence named in the task</x:v>
      </x:c>
      <x:c r="N140" s="10" t="str">
        <x:v>not_started</x:v>
      </x:c>
      <x:c r="O140" s="10" t="str">
        <x:v>Developer</x:v>
      </x:c>
      <x:c r="P140" s="10" t="str">
        <x:v>agent</x:v>
      </x:c>
      <x:c r="Q140" s="10" t="str">
        <x:v>p4/P4.5-shot-model-plug-in</x:v>
      </x:c>
      <x:c r="R140" s="35" t="str"/>
      <x:c r="S140" s="35" t="str"/>
      <x:c r="T140" s="10" t="str"/>
      <x:c r="U140" s="10" t="str"/>
      <x:c r="V140" s="10" t="str">
        <x:v>ELTS Build Plan P4.5</x:v>
      </x:c>
    </x:row>
    <x:row r="141">
      <x:c r="A141" s="34" t="n">
        <x:v>136</x:v>
      </x:c>
      <x:c r="B141" s="34" t="str">
        <x:v>P4.5.V001</x:v>
      </x:c>
      <x:c r="C141" s="34" t="str">
        <x:v>P4.5</x:v>
      </x:c>
      <x:c r="D141" s="34" t="str">
        <x:v>P4</x:v>
      </x:c>
      <x:c r="E141" s="34" t="str">
        <x:v>G4</x:v>
      </x:c>
      <x:c r="F141" s="34" t="str">
        <x:v>WS-C</x:v>
      </x:c>
      <x:c r="G141" s="34" t="str">
        <x:v>verification</x:v>
      </x:c>
      <x:c r="H141" s="34" t="str">
        <x:v>Verify P4.5 against its completion criteria and attach evidence.</x:v>
      </x:c>
      <x:c r="I141" s="34" t="str">
        <x:v>P4.5.S001</x:v>
      </x:c>
      <x:c r="J141" s="34" t="str">
        <x:v>D-05</x:v>
      </x:c>
      <x:c r="K141" s="34" t="str">
        <x:v>PlayMode test: scripted trigger at a known pose hits/misses known targets; parameters change behavior.</x:v>
      </x:c>
      <x:c r="L141" s="34" t="str">
        <x:v>PlayMode test: scripted trigger at a known pose hits/misses known targets; parameters change behavior.</x:v>
      </x:c>
      <x:c r="M141" s="34" t="str">
        <x:v>Code, documentation, test evidence, or lab evidence named in the task</x:v>
      </x:c>
      <x:c r="N141" s="34" t="str">
        <x:v>not_started</x:v>
      </x:c>
      <x:c r="O141" s="34" t="str">
        <x:v>Developer</x:v>
      </x:c>
      <x:c r="P141" s="34" t="str">
        <x:v>automated_check</x:v>
      </x:c>
      <x:c r="Q141" s="34" t="str">
        <x:v>p4/P4.5-shot-model-plug-in</x:v>
      </x:c>
      <x:c r="R141" s="36" t="str"/>
      <x:c r="S141" s="36" t="str"/>
      <x:c r="T141" s="34" t="str"/>
      <x:c r="U141" s="34" t="str"/>
      <x:c r="V141" s="34" t="str">
        <x:v>ELTS Build Plan P4.5</x:v>
      </x:c>
    </x:row>
    <x:row r="142">
      <x:c r="A142" s="10" t="n">
        <x:v>137</x:v>
      </x:c>
      <x:c r="B142" s="10" t="str">
        <x:v>P4.6.S001</x:v>
      </x:c>
      <x:c r="C142" s="10" t="str">
        <x:v>P4.6</x:v>
      </x:c>
      <x:c r="D142" s="10" t="str">
        <x:v>P4</x:v>
      </x:c>
      <x:c r="E142" s="10" t="str">
        <x:v>G4</x:v>
      </x:c>
      <x:c r="F142" s="10" t="str">
        <x:v>WS-C</x:v>
      </x:c>
      <x:c r="G142" s="10" t="str">
        <x:v>implementation</x:v>
      </x:c>
      <x:c r="H142" s="10" t="str">
        <x:v>IScoringRule with TargetsDestroyedCount as the only implementation for this study. The block score is the count of TargetDestroyed events between BlockStart and BlockEnd — computed from the event stream, so the log is the source of truth, not an in-memory counter.</x:v>
      </x:c>
      <x:c r="I142" s="10" t="str">
        <x:v>P2.6, P4.5</x:v>
      </x:c>
      <x:c r="J142" s="10" t="str"/>
      <x:c r="K142" s="10" t="str">
        <x:v>ingest.py reproduces the app's block score from events.csv exactly.</x:v>
      </x:c>
      <x:c r="L142" s="10" t="str">
        <x:v>ingest.py reproduces the app's block score from events.csv exactly.</x:v>
      </x:c>
      <x:c r="M142" s="10" t="str">
        <x:v>Code, documentation, test evidence, or lab evidence named in the task</x:v>
      </x:c>
      <x:c r="N142" s="10" t="str">
        <x:v>not_started</x:v>
      </x:c>
      <x:c r="O142" s="10" t="str">
        <x:v>Developer</x:v>
      </x:c>
      <x:c r="P142" s="10" t="str">
        <x:v>agent</x:v>
      </x:c>
      <x:c r="Q142" s="10" t="str">
        <x:v>p4/P4.6-scoring-rule-plug-in</x:v>
      </x:c>
      <x:c r="R142" s="35" t="str"/>
      <x:c r="S142" s="35" t="str"/>
      <x:c r="T142" s="10" t="str"/>
      <x:c r="U142" s="10" t="str"/>
      <x:c r="V142" s="10" t="str">
        <x:v>ELTS Build Plan P4.6</x:v>
      </x:c>
    </x:row>
    <x:row r="143">
      <x:c r="A143" s="34" t="n">
        <x:v>138</x:v>
      </x:c>
      <x:c r="B143" s="34" t="str">
        <x:v>P4.6.V001</x:v>
      </x:c>
      <x:c r="C143" s="34" t="str">
        <x:v>P4.6</x:v>
      </x:c>
      <x:c r="D143" s="34" t="str">
        <x:v>P4</x:v>
      </x:c>
      <x:c r="E143" s="34" t="str">
        <x:v>G4</x:v>
      </x:c>
      <x:c r="F143" s="34" t="str">
        <x:v>WS-C</x:v>
      </x:c>
      <x:c r="G143" s="34" t="str">
        <x:v>verification</x:v>
      </x:c>
      <x:c r="H143" s="34" t="str">
        <x:v>Verify P4.6 against its completion criteria and attach evidence.</x:v>
      </x:c>
      <x:c r="I143" s="34" t="str">
        <x:v>P4.6.S001</x:v>
      </x:c>
      <x:c r="J143" s="34" t="str"/>
      <x:c r="K143" s="34" t="str">
        <x:v>ingest.py reproduces the app's block score from events.csv exactly.</x:v>
      </x:c>
      <x:c r="L143" s="34" t="str">
        <x:v>ingest.py reproduces the app's block score from events.csv exactly.</x:v>
      </x:c>
      <x:c r="M143" s="34" t="str">
        <x:v>Code, documentation, test evidence, or lab evidence named in the task</x:v>
      </x:c>
      <x:c r="N143" s="34" t="str">
        <x:v>not_started</x:v>
      </x:c>
      <x:c r="O143" s="34" t="str">
        <x:v>Developer</x:v>
      </x:c>
      <x:c r="P143" s="34" t="str">
        <x:v>automated_check</x:v>
      </x:c>
      <x:c r="Q143" s="34" t="str">
        <x:v>p4/P4.6-scoring-rule-plug-in</x:v>
      </x:c>
      <x:c r="R143" s="36" t="str"/>
      <x:c r="S143" s="36" t="str"/>
      <x:c r="T143" s="34" t="str"/>
      <x:c r="U143" s="34" t="str"/>
      <x:c r="V143" s="34" t="str">
        <x:v>ELTS Build Plan P4.6</x:v>
      </x:c>
    </x:row>
    <x:row r="144">
      <x:c r="A144" s="10" t="n">
        <x:v>139</x:v>
      </x:c>
      <x:c r="B144" s="10" t="str">
        <x:v>P4.7.S001</x:v>
      </x:c>
      <x:c r="C144" s="10" t="str">
        <x:v>P4.7</x:v>
      </x:c>
      <x:c r="D144" s="10" t="str">
        <x:v>P4</x:v>
      </x:c>
      <x:c r="E144" s="10" t="str">
        <x:v>G4</x:v>
      </x:c>
      <x:c r="F144" s="10" t="str">
        <x:v>WS-C</x:v>
      </x:c>
      <x:c r="G144" s="10" t="str">
        <x:v>implementation</x:v>
      </x:c>
      <x:c r="H144" s="10" t="str">
        <x:v>Implement hit/destroy visuals, shot sound, and a score readout as toggles in the scenario file, all default off. Whether participants see a score or hear feedback is D-06 (investigators); the code supports both answers.</x:v>
      </x:c>
      <x:c r="I144" s="10" t="str">
        <x:v>P4.1, D-06</x:v>
      </x:c>
      <x:c r="J144" s="10" t="str">
        <x:v>D-06</x:v>
      </x:c>
      <x:c r="K144" s="10" t="str">
        <x:v>Change or evidence attributable to P4.7.S001</x:v>
      </x:c>
      <x:c r="L144" s="10" t="str">
        <x:v>Review the changed artifact and run the nearest relevant automated or lab check.</x:v>
      </x:c>
      <x:c r="M144" s="10" t="str">
        <x:v>Code, documentation, test evidence, or lab evidence named in the task</x:v>
      </x:c>
      <x:c r="N144" s="10" t="str">
        <x:v>not_started</x:v>
      </x:c>
      <x:c r="O144" s="10" t="str">
        <x:v>Developer</x:v>
      </x:c>
      <x:c r="P144" s="10" t="str">
        <x:v>agent</x:v>
      </x:c>
      <x:c r="Q144" s="10" t="str">
        <x:v>p4/P4.7-participant-facing-feedback-decision-driven</x:v>
      </x:c>
      <x:c r="R144" s="35" t="str"/>
      <x:c r="S144" s="35" t="str"/>
      <x:c r="T144" s="10" t="str"/>
      <x:c r="U144" s="10" t="str"/>
      <x:c r="V144" s="10" t="str">
        <x:v>ELTS Build Plan P4.7</x:v>
      </x:c>
    </x:row>
    <x:row r="145">
      <x:c r="A145" s="34" t="n">
        <x:v>140</x:v>
      </x:c>
      <x:c r="B145" s="34" t="str">
        <x:v>P4.7.S002</x:v>
      </x:c>
      <x:c r="C145" s="34" t="str">
        <x:v>P4.7</x:v>
      </x:c>
      <x:c r="D145" s="34" t="str">
        <x:v>P4</x:v>
      </x:c>
      <x:c r="E145" s="34" t="str">
        <x:v>G4</x:v>
      </x:c>
      <x:c r="F145" s="34" t="str">
        <x:v>WS-C</x:v>
      </x:c>
      <x:c r="G145" s="34" t="str">
        <x:v>execution</x:v>
      </x:c>
      <x:c r="H145" s="34" t="str">
        <x:v>### Tasks — session system (§12.5)</x:v>
      </x:c>
      <x:c r="I145" s="34" t="str">
        <x:v>P4.7.S001</x:v>
      </x:c>
      <x:c r="J145" s="34" t="str">
        <x:v>D-06</x:v>
      </x:c>
      <x:c r="K145" s="34" t="str">
        <x:v>each toggle works independently.</x:v>
      </x:c>
      <x:c r="L145" s="34" t="str">
        <x:v>each toggle works independently.</x:v>
      </x:c>
      <x:c r="M145" s="34" t="str">
        <x:v>Code, documentation, test evidence, or lab evidence named in the task</x:v>
      </x:c>
      <x:c r="N145" s="34" t="str">
        <x:v>not_started</x:v>
      </x:c>
      <x:c r="O145" s="34" t="str">
        <x:v>Developer</x:v>
      </x:c>
      <x:c r="P145" s="34" t="str">
        <x:v>agent</x:v>
      </x:c>
      <x:c r="Q145" s="34" t="str">
        <x:v>p4/P4.7-participant-facing-feedback-decision-driven</x:v>
      </x:c>
      <x:c r="R145" s="36" t="str"/>
      <x:c r="S145" s="36" t="str"/>
      <x:c r="T145" s="34" t="str"/>
      <x:c r="U145" s="34" t="str"/>
      <x:c r="V145" s="34" t="str">
        <x:v>ELTS Build Plan P4.7</x:v>
      </x:c>
    </x:row>
    <x:row r="146">
      <x:c r="A146" s="10" t="n">
        <x:v>141</x:v>
      </x:c>
      <x:c r="B146" s="10" t="str">
        <x:v>P4.7.V001</x:v>
      </x:c>
      <x:c r="C146" s="10" t="str">
        <x:v>P4.7</x:v>
      </x:c>
      <x:c r="D146" s="10" t="str">
        <x:v>P4</x:v>
      </x:c>
      <x:c r="E146" s="10" t="str">
        <x:v>G4</x:v>
      </x:c>
      <x:c r="F146" s="10" t="str">
        <x:v>WS-C</x:v>
      </x:c>
      <x:c r="G146" s="10" t="str">
        <x:v>verification</x:v>
      </x:c>
      <x:c r="H146" s="10" t="str">
        <x:v>Verify P4.7 against its completion criteria and attach evidence.</x:v>
      </x:c>
      <x:c r="I146" s="10" t="str">
        <x:v>P4.7.S002</x:v>
      </x:c>
      <x:c r="J146" s="10" t="str">
        <x:v>D-06</x:v>
      </x:c>
      <x:c r="K146" s="10" t="str">
        <x:v>each toggle works independently.</x:v>
      </x:c>
      <x:c r="L146" s="10" t="str">
        <x:v>each toggle works independently.</x:v>
      </x:c>
      <x:c r="M146" s="10" t="str">
        <x:v>Code, documentation, test evidence, or lab evidence named in the task</x:v>
      </x:c>
      <x:c r="N146" s="10" t="str">
        <x:v>not_started</x:v>
      </x:c>
      <x:c r="O146" s="10" t="str">
        <x:v>Developer</x:v>
      </x:c>
      <x:c r="P146" s="10" t="str">
        <x:v>automated_check</x:v>
      </x:c>
      <x:c r="Q146" s="10" t="str">
        <x:v>p4/P4.7-participant-facing-feedback-decision-driven</x:v>
      </x:c>
      <x:c r="R146" s="35" t="str"/>
      <x:c r="S146" s="35" t="str"/>
      <x:c r="T146" s="10" t="str"/>
      <x:c r="U146" s="10" t="str"/>
      <x:c r="V146" s="10" t="str">
        <x:v>ELTS Build Plan P4.7</x:v>
      </x:c>
    </x:row>
    <x:row r="147">
      <x:c r="A147" s="34" t="n">
        <x:v>142</x:v>
      </x:c>
      <x:c r="B147" s="34" t="str">
        <x:v>P4.8.S001</x:v>
      </x:c>
      <x:c r="C147" s="34" t="str">
        <x:v>P4.8</x:v>
      </x:c>
      <x:c r="D147" s="34" t="str">
        <x:v>P4</x:v>
      </x:c>
      <x:c r="E147" s="34" t="str">
        <x:v>G4</x:v>
      </x:c>
      <x:c r="F147" s="34" t="str">
        <x:v>WS-C, WS-F</x:v>
      </x:c>
      <x:c r="G147" s="34" t="str">
        <x:v>execution</x:v>
      </x:c>
      <x:c r="H147" s="34" t="str">
        <x:v>JSON (Appendix A.4): the four conditions (WE/NE × MT/FT), each mapped to a scenario file and an elts flag; the condition block duration (300 s — fixed by the design); the break duration; the practice block(s). The order of the four conditions is not in this file — it is entered per participant (P4.9). Practice content is D-07; the template ships with a placeholder practice block.</x:v>
      </x:c>
      <x:c r="I147" s="34" t="str">
        <x:v>D-07</x:v>
      </x:c>
      <x:c r="J147" s="34" t="str">
        <x:v>D-07</x:v>
      </x:c>
      <x:c r="K147" s="34" t="str">
        <x:v>template loads; conditionDurationS cannot be anything other than 300 without an explicit overrideDesignDuration: true flag (guards the DV).</x:v>
      </x:c>
      <x:c r="L147" s="34" t="str">
        <x:v>template loads; conditionDurationS cannot be anything other than 300 without an explicit overrideDesignDuration: true flag (guards the DV).</x:v>
      </x:c>
      <x:c r="M147" s="34" t="str">
        <x:v>config/study/sessions</x:v>
      </x:c>
      <x:c r="N147" s="34" t="str">
        <x:v>not_started</x:v>
      </x:c>
      <x:c r="O147" s="34" t="str">
        <x:v>Developer</x:v>
      </x:c>
      <x:c r="P147" s="34" t="str">
        <x:v>agent</x:v>
      </x:c>
      <x:c r="Q147" s="34" t="str">
        <x:v>p4/P4.8-session-definition</x:v>
      </x:c>
      <x:c r="R147" s="36" t="str"/>
      <x:c r="S147" s="36" t="str"/>
      <x:c r="T147" s="34" t="str"/>
      <x:c r="U147" s="34" t="str"/>
      <x:c r="V147" s="34" t="str">
        <x:v>ELTS Build Plan P4.8</x:v>
      </x:c>
    </x:row>
    <x:row r="148">
      <x:c r="A148" s="10" t="n">
        <x:v>143</x:v>
      </x:c>
      <x:c r="B148" s="10" t="str">
        <x:v>P4.8.V001</x:v>
      </x:c>
      <x:c r="C148" s="10" t="str">
        <x:v>P4.8</x:v>
      </x:c>
      <x:c r="D148" s="10" t="str">
        <x:v>P4</x:v>
      </x:c>
      <x:c r="E148" s="10" t="str">
        <x:v>G4</x:v>
      </x:c>
      <x:c r="F148" s="10" t="str">
        <x:v>WS-C, WS-F</x:v>
      </x:c>
      <x:c r="G148" s="10" t="str">
        <x:v>verification</x:v>
      </x:c>
      <x:c r="H148" s="10" t="str">
        <x:v>Verify P4.8 against its completion criteria and attach evidence.</x:v>
      </x:c>
      <x:c r="I148" s="10" t="str">
        <x:v>P4.8.S001</x:v>
      </x:c>
      <x:c r="J148" s="10" t="str">
        <x:v>D-07</x:v>
      </x:c>
      <x:c r="K148" s="10" t="str">
        <x:v>template loads; conditionDurationS cannot be anything other than 300 without an explicit overrideDesignDuration: true flag (guards the DV).</x:v>
      </x:c>
      <x:c r="L148" s="10" t="str">
        <x:v>template loads; conditionDurationS cannot be anything other than 300 without an explicit overrideDesignDuration: true flag (guards the DV).</x:v>
      </x:c>
      <x:c r="M148" s="10" t="str">
        <x:v>config/study/sessions</x:v>
      </x:c>
      <x:c r="N148" s="10" t="str">
        <x:v>not_started</x:v>
      </x:c>
      <x:c r="O148" s="10" t="str">
        <x:v>Developer</x:v>
      </x:c>
      <x:c r="P148" s="10" t="str">
        <x:v>automated_check</x:v>
      </x:c>
      <x:c r="Q148" s="10" t="str">
        <x:v>p4/P4.8-session-definition</x:v>
      </x:c>
      <x:c r="R148" s="35" t="str"/>
      <x:c r="S148" s="35" t="str"/>
      <x:c r="T148" s="10" t="str"/>
      <x:c r="U148" s="10" t="str"/>
      <x:c r="V148" s="10" t="str">
        <x:v>ELTS Build Plan P4.8</x:v>
      </x:c>
    </x:row>
    <x:row r="149">
      <x:c r="A149" s="34" t="n">
        <x:v>144</x:v>
      </x:c>
      <x:c r="B149" s="34" t="str">
        <x:v>P4.9.S001</x:v>
      </x:c>
      <x:c r="C149" s="34" t="str">
        <x:v>P4.9</x:v>
      </x:c>
      <x:c r="D149" s="34" t="str">
        <x:v>P4</x:v>
      </x:c>
      <x:c r="E149" s="34" t="str">
        <x:v>G4</x:v>
      </x:c>
      <x:c r="F149" s="34" t="str">
        <x:v>WS-C, WS-F</x:v>
      </x:c>
      <x:c r="G149" s="34" t="str">
        <x:v>verification</x:v>
      </x:c>
      <x:c r="H149" s="34" t="str">
        <x:v>The operator enters the participant ID and the four-block order for this participant, taken from the investigators' pre-generated assignment sheet (D-08 — whether that sheet is fully random or counterbalanced is their call). The app validates it is a permutation of the four conditions, records it in session.json and every block header, and refuses to start without it.</x:v>
      </x:c>
      <x:c r="I149" s="34" t="str">
        <x:v>P4.8, D-08</x:v>
      </x:c>
      <x:c r="J149" s="34" t="str">
        <x:v>D-08</x:v>
      </x:c>
      <x:c r="K149" s="34" t="str">
        <x:v>invalid orders rejected; order appears in all headers.</x:v>
      </x:c>
      <x:c r="L149" s="34" t="str">
        <x:v>invalid orders rejected; order appears in all headers.</x:v>
      </x:c>
      <x:c r="M149" s="34" t="str">
        <x:v>Code, documentation, test evidence, or lab evidence named in the task</x:v>
      </x:c>
      <x:c r="N149" s="34" t="str">
        <x:v>not_started</x:v>
      </x:c>
      <x:c r="O149" s="34" t="str">
        <x:v>Developer</x:v>
      </x:c>
      <x:c r="P149" s="34" t="str">
        <x:v>agent</x:v>
      </x:c>
      <x:c r="Q149" s="34" t="str">
        <x:v>p4/P4.9-block-order-input</x:v>
      </x:c>
      <x:c r="R149" s="36" t="str"/>
      <x:c r="S149" s="36" t="str"/>
      <x:c r="T149" s="34" t="str"/>
      <x:c r="U149" s="34" t="str"/>
      <x:c r="V149" s="34" t="str">
        <x:v>ELTS Build Plan P4.9</x:v>
      </x:c>
    </x:row>
    <x:row r="150">
      <x:c r="A150" s="10" t="n">
        <x:v>145</x:v>
      </x:c>
      <x:c r="B150" s="10" t="str">
        <x:v>P4.9.V001</x:v>
      </x:c>
      <x:c r="C150" s="10" t="str">
        <x:v>P4.9</x:v>
      </x:c>
      <x:c r="D150" s="10" t="str">
        <x:v>P4</x:v>
      </x:c>
      <x:c r="E150" s="10" t="str">
        <x:v>G4</x:v>
      </x:c>
      <x:c r="F150" s="10" t="str">
        <x:v>WS-C, WS-F</x:v>
      </x:c>
      <x:c r="G150" s="10" t="str">
        <x:v>verification</x:v>
      </x:c>
      <x:c r="H150" s="10" t="str">
        <x:v>Verify P4.9 against its completion criteria and attach evidence.</x:v>
      </x:c>
      <x:c r="I150" s="10" t="str">
        <x:v>P4.9.S001</x:v>
      </x:c>
      <x:c r="J150" s="10" t="str">
        <x:v>D-08</x:v>
      </x:c>
      <x:c r="K150" s="10" t="str">
        <x:v>invalid orders rejected; order appears in all headers.</x:v>
      </x:c>
      <x:c r="L150" s="10" t="str">
        <x:v>invalid orders rejected; order appears in all headers.</x:v>
      </x:c>
      <x:c r="M150" s="10" t="str">
        <x:v>Code, documentation, test evidence, or lab evidence named in the task</x:v>
      </x:c>
      <x:c r="N150" s="10" t="str">
        <x:v>not_started</x:v>
      </x:c>
      <x:c r="O150" s="10" t="str">
        <x:v>Developer</x:v>
      </x:c>
      <x:c r="P150" s="10" t="str">
        <x:v>automated_check</x:v>
      </x:c>
      <x:c r="Q150" s="10" t="str">
        <x:v>p4/P4.9-block-order-input</x:v>
      </x:c>
      <x:c r="R150" s="35" t="str"/>
      <x:c r="S150" s="35" t="str"/>
      <x:c r="T150" s="10" t="str"/>
      <x:c r="U150" s="10" t="str"/>
      <x:c r="V150" s="10" t="str">
        <x:v>ELTS Build Plan P4.9</x:v>
      </x:c>
    </x:row>
    <x:row r="151">
      <x:c r="A151" s="34" t="n">
        <x:v>146</x:v>
      </x:c>
      <x:c r="B151" s="34" t="str">
        <x:v>P4.10.S001</x:v>
      </x:c>
      <x:c r="C151" s="34" t="str">
        <x:v>P4.10</x:v>
      </x:c>
      <x:c r="D151" s="34" t="str">
        <x:v>P4</x:v>
      </x:c>
      <x:c r="E151" s="34" t="str">
        <x:v>G4</x:v>
      </x:c>
      <x:c r="F151" s="34" t="str">
        <x:v>WS-C, WS-F</x:v>
      </x:c>
      <x:c r="G151" s="34" t="str">
        <x:v>documentation</x:v>
      </x:c>
      <x:c r="H151" s="34" t="str">
        <x:v>States: Idle → SessionSetup → Calibration (Phase 5 fills this in) → Practice → for each block BlockReady → BlockRunning → BlockEnded → Break → … → SessionComplete. Transitions only from operator actions or timers. Every transition posts an event. BlockRunning lasts exactly durationSeconds on Clock; targets exist only in BlockRunning; the ELTS link (Phase 6) is called at BlockRunning entry/exit when eltsEnabled. Abort is available from any state, requires a reason string, marks the block in session.json, keeps all files (nothing is ever deleted), and offers "re-run this block" which writes to a _r{k} folder.</x:v>
      </x:c>
      <x:c r="I151" s="34" t="str">
        <x:v>P4.8, P4.9</x:v>
      </x:c>
      <x:c r="J151" s="34" t="str"/>
      <x:c r="K151" s="34" t="str">
        <x:v>PlayMode test drives a full session through every transition; abort/re-run paths covered.</x:v>
      </x:c>
      <x:c r="L151" s="34" t="str">
        <x:v>PlayMode test drives a full session through every transition; abort/re-run paths covered.</x:v>
      </x:c>
      <x:c r="M151" s="34" t="str">
        <x:v>Code, documentation, test evidence, or lab evidence named in the task</x:v>
      </x:c>
      <x:c r="N151" s="34" t="str">
        <x:v>not_started</x:v>
      </x:c>
      <x:c r="O151" s="34" t="str">
        <x:v>Developer</x:v>
      </x:c>
      <x:c r="P151" s="34" t="str">
        <x:v>agent</x:v>
      </x:c>
      <x:c r="Q151" s="34" t="str">
        <x:v>p4/P4.10-session-state-machine</x:v>
      </x:c>
      <x:c r="R151" s="36" t="str"/>
      <x:c r="S151" s="36" t="str"/>
      <x:c r="T151" s="34" t="str"/>
      <x:c r="U151" s="34" t="str"/>
      <x:c r="V151" s="34" t="str">
        <x:v>ELTS Build Plan P4.10</x:v>
      </x:c>
    </x:row>
    <x:row r="152">
      <x:c r="A152" s="10" t="n">
        <x:v>147</x:v>
      </x:c>
      <x:c r="B152" s="10" t="str">
        <x:v>P4.10.V001</x:v>
      </x:c>
      <x:c r="C152" s="10" t="str">
        <x:v>P4.10</x:v>
      </x:c>
      <x:c r="D152" s="10" t="str">
        <x:v>P4</x:v>
      </x:c>
      <x:c r="E152" s="10" t="str">
        <x:v>G4</x:v>
      </x:c>
      <x:c r="F152" s="10" t="str">
        <x:v>WS-C, WS-F</x:v>
      </x:c>
      <x:c r="G152" s="10" t="str">
        <x:v>verification</x:v>
      </x:c>
      <x:c r="H152" s="10" t="str">
        <x:v>Verify P4.10 against its completion criteria and attach evidence.</x:v>
      </x:c>
      <x:c r="I152" s="10" t="str">
        <x:v>P4.10.S001</x:v>
      </x:c>
      <x:c r="J152" s="10" t="str"/>
      <x:c r="K152" s="10" t="str">
        <x:v>PlayMode test drives a full session through every transition; abort/re-run paths covered.</x:v>
      </x:c>
      <x:c r="L152" s="10" t="str">
        <x:v>PlayMode test drives a full session through every transition; abort/re-run paths covered.</x:v>
      </x:c>
      <x:c r="M152" s="10" t="str">
        <x:v>Code, documentation, test evidence, or lab evidence named in the task</x:v>
      </x:c>
      <x:c r="N152" s="10" t="str">
        <x:v>not_started</x:v>
      </x:c>
      <x:c r="O152" s="10" t="str">
        <x:v>Developer</x:v>
      </x:c>
      <x:c r="P152" s="10" t="str">
        <x:v>automated_check</x:v>
      </x:c>
      <x:c r="Q152" s="10" t="str">
        <x:v>p4/P4.10-session-state-machine</x:v>
      </x:c>
      <x:c r="R152" s="35" t="str"/>
      <x:c r="S152" s="35" t="str"/>
      <x:c r="T152" s="10" t="str"/>
      <x:c r="U152" s="10" t="str"/>
      <x:c r="V152" s="10" t="str">
        <x:v>ELTS Build Plan P4.10</x:v>
      </x:c>
    </x:row>
    <x:row r="153">
      <x:c r="A153" s="34" t="n">
        <x:v>148</x:v>
      </x:c>
      <x:c r="B153" s="34" t="str">
        <x:v>P4.11.S001</x:v>
      </x:c>
      <x:c r="C153" s="34" t="str">
        <x:v>P4.11</x:v>
      </x:c>
      <x:c r="D153" s="34" t="str">
        <x:v>P4</x:v>
      </x:c>
      <x:c r="E153" s="34" t="str">
        <x:v>G4</x:v>
      </x:c>
      <x:c r="F153" s="34" t="str">
        <x:v>WS-C, WS-F</x:v>
      </x:c>
      <x:c r="G153" s="34" t="str">
        <x:v>execution</x:v>
      </x:c>
      <x:c r="H153" s="34" t="str">
        <x:v>Panels on the operator display:</x:v>
      </x:c>
      <x:c r="I153" s="34" t="str">
        <x:v>P4.10</x:v>
      </x:c>
      <x:c r="J153" s="34" t="str">
        <x:v>D-12</x:v>
      </x:c>
      <x:c r="K153" s="34" t="str">
        <x:v>Change or evidence attributable to P4.11.S001</x:v>
      </x:c>
      <x:c r="L153" s="34" t="str">
        <x:v>Review the changed artifact and run the nearest relevant automated or lab check.</x:v>
      </x:c>
      <x:c r="M153" s="34" t="str">
        <x:v>Code, documentation, test evidence, or lab evidence named in the task</x:v>
      </x:c>
      <x:c r="N153" s="34" t="str">
        <x:v>not_started</x:v>
      </x:c>
      <x:c r="O153" s="34" t="str">
        <x:v>Developer</x:v>
      </x:c>
      <x:c r="P153" s="34" t="str">
        <x:v>agent</x:v>
      </x:c>
      <x:c r="Q153" s="34" t="str">
        <x:v>p4/P4.11-operator-ui-ui-toolkit</x:v>
      </x:c>
      <x:c r="R153" s="36" t="str"/>
      <x:c r="S153" s="36" t="str"/>
      <x:c r="T153" s="34" t="str"/>
      <x:c r="U153" s="34" t="str"/>
      <x:c r="V153" s="34" t="str">
        <x:v>ELTS Build Plan P4.11</x:v>
      </x:c>
    </x:row>
    <x:row r="154">
      <x:c r="A154" s="10" t="n">
        <x:v>149</x:v>
      </x:c>
      <x:c r="B154" s="10" t="str">
        <x:v>P4.11.S002</x:v>
      </x:c>
      <x:c r="C154" s="10" t="str">
        <x:v>P4.11</x:v>
      </x:c>
      <x:c r="D154" s="10" t="str">
        <x:v>P4</x:v>
      </x:c>
      <x:c r="E154" s="10" t="str">
        <x:v>G4</x:v>
      </x:c>
      <x:c r="F154" s="10" t="str">
        <x:v>WS-C, WS-F</x:v>
      </x:c>
      <x:c r="G154" s="10" t="str">
        <x:v>decision</x:v>
      </x:c>
      <x:c r="H154" s="10" t="str">
        <x:v>Setup: participant ID, block order entry, scenario/session template selection, config summary, self-check results (§12.4).</x:v>
      </x:c>
      <x:c r="I154" s="10" t="str">
        <x:v>P4.11.S001</x:v>
      </x:c>
      <x:c r="J154" s="10" t="str">
        <x:v>D-12</x:v>
      </x:c>
      <x:c r="K154" s="10" t="str">
        <x:v>Change or evidence attributable to P4.11.S002</x:v>
      </x:c>
      <x:c r="L154" s="10" t="str">
        <x:v>Review the changed artifact and run the nearest relevant automated or lab check.</x:v>
      </x:c>
      <x:c r="M154" s="10" t="str">
        <x:v>Code, documentation, test evidence, or lab evidence named in the task</x:v>
      </x:c>
      <x:c r="N154" s="10" t="str">
        <x:v>not_started</x:v>
      </x:c>
      <x:c r="O154" s="10" t="str">
        <x:v>Developer</x:v>
      </x:c>
      <x:c r="P154" s="10" t="str">
        <x:v>agent</x:v>
      </x:c>
      <x:c r="Q154" s="10" t="str">
        <x:v>p4/P4.11-operator-ui-ui-toolkit</x:v>
      </x:c>
      <x:c r="R154" s="35" t="str"/>
      <x:c r="S154" s="35" t="str"/>
      <x:c r="T154" s="10" t="str"/>
      <x:c r="U154" s="10" t="str"/>
      <x:c r="V154" s="10" t="str">
        <x:v>ELTS Build Plan P4.11</x:v>
      </x:c>
    </x:row>
    <x:row r="155">
      <x:c r="A155" s="34" t="n">
        <x:v>150</x:v>
      </x:c>
      <x:c r="B155" s="34" t="str">
        <x:v>P4.11.S003</x:v>
      </x:c>
      <x:c r="C155" s="34" t="str">
        <x:v>P4.11</x:v>
      </x:c>
      <x:c r="D155" s="34" t="str">
        <x:v>P4</x:v>
      </x:c>
      <x:c r="E155" s="34" t="str">
        <x:v>G4</x:v>
      </x:c>
      <x:c r="F155" s="34" t="str">
        <x:v>WS-C, WS-F</x:v>
      </x:c>
      <x:c r="G155" s="34" t="str">
        <x:v>execution</x:v>
      </x:c>
      <x:c r="H155" s="34" t="str">
        <x:v>Calibration: placeholders for Phase 5 wizards.</x:v>
      </x:c>
      <x:c r="I155" s="34" t="str">
        <x:v>P4.11.S002</x:v>
      </x:c>
      <x:c r="J155" s="34" t="str">
        <x:v>D-12</x:v>
      </x:c>
      <x:c r="K155" s="34" t="str">
        <x:v>Change or evidence attributable to P4.11.S003</x:v>
      </x:c>
      <x:c r="L155" s="34" t="str">
        <x:v>Review the changed artifact and run the nearest relevant automated or lab check.</x:v>
      </x:c>
      <x:c r="M155" s="34" t="str">
        <x:v>Code, documentation, test evidence, or lab evidence named in the task</x:v>
      </x:c>
      <x:c r="N155" s="34" t="str">
        <x:v>not_started</x:v>
      </x:c>
      <x:c r="O155" s="34" t="str">
        <x:v>Developer</x:v>
      </x:c>
      <x:c r="P155" s="34" t="str">
        <x:v>agent</x:v>
      </x:c>
      <x:c r="Q155" s="34" t="str">
        <x:v>p4/P4.11-operator-ui-ui-toolkit</x:v>
      </x:c>
      <x:c r="R155" s="36" t="str"/>
      <x:c r="S155" s="36" t="str"/>
      <x:c r="T155" s="34" t="str"/>
      <x:c r="U155" s="34" t="str"/>
      <x:c r="V155" s="34" t="str">
        <x:v>ELTS Build Plan P4.11</x:v>
      </x:c>
    </x:row>
    <x:row r="156">
      <x:c r="A156" s="10" t="n">
        <x:v>151</x:v>
      </x:c>
      <x:c r="B156" s="10" t="str">
        <x:v>P4.11.S004</x:v>
      </x:c>
      <x:c r="C156" s="10" t="str">
        <x:v>P4.11</x:v>
      </x:c>
      <x:c r="D156" s="10" t="str">
        <x:v>P4</x:v>
      </x:c>
      <x:c r="E156" s="10" t="str">
        <x:v>G4</x:v>
      </x:c>
      <x:c r="F156" s="10" t="str">
        <x:v>WS-C, WS-F</x:v>
      </x:c>
      <x:c r="G156" s="10" t="str">
        <x:v>execution</x:v>
      </x:c>
      <x:c r="H156" s="10" t="str">
        <x:v>Session control: current state, big Start/End/Abort buttons, block countdown, break countdown, next block condition, ELTS link status (Phase 6).</x:v>
      </x:c>
      <x:c r="I156" s="10" t="str">
        <x:v>P4.11.S003</x:v>
      </x:c>
      <x:c r="J156" s="10" t="str">
        <x:v>D-12</x:v>
      </x:c>
      <x:c r="K156" s="10" t="str">
        <x:v>Change or evidence attributable to P4.11.S004</x:v>
      </x:c>
      <x:c r="L156" s="10" t="str">
        <x:v>Review the changed artifact and run the nearest relevant automated or lab check.</x:v>
      </x:c>
      <x:c r="M156" s="10" t="str">
        <x:v>Code, documentation, test evidence, or lab evidence named in the task</x:v>
      </x:c>
      <x:c r="N156" s="10" t="str">
        <x:v>not_started</x:v>
      </x:c>
      <x:c r="O156" s="10" t="str">
        <x:v>Developer</x:v>
      </x:c>
      <x:c r="P156" s="10" t="str">
        <x:v>agent</x:v>
      </x:c>
      <x:c r="Q156" s="10" t="str">
        <x:v>p4/P4.11-operator-ui-ui-toolkit</x:v>
      </x:c>
      <x:c r="R156" s="35" t="str"/>
      <x:c r="S156" s="35" t="str"/>
      <x:c r="T156" s="10" t="str"/>
      <x:c r="U156" s="10" t="str"/>
      <x:c r="V156" s="10" t="str">
        <x:v>ELTS Build Plan P4.11</x:v>
      </x:c>
    </x:row>
    <x:row r="157">
      <x:c r="A157" s="34" t="n">
        <x:v>152</x:v>
      </x:c>
      <x:c r="B157" s="34" t="str">
        <x:v>P4.11.S005</x:v>
      </x:c>
      <x:c r="C157" s="34" t="str">
        <x:v>P4.11</x:v>
      </x:c>
      <x:c r="D157" s="34" t="str">
        <x:v>P4</x:v>
      </x:c>
      <x:c r="E157" s="34" t="str">
        <x:v>G4</x:v>
      </x:c>
      <x:c r="F157" s="34" t="str">
        <x:v>WS-C, WS-F</x:v>
      </x:c>
      <x:c r="G157" s="34" t="str">
        <x:v>execution</x:v>
      </x:c>
      <x:c r="H157" s="34" t="str">
        <x:v>Status: per-tracker validity with dropout counters, sample rate, drop count, disk free, frame hitches, live aim error, last shot result.</x:v>
      </x:c>
      <x:c r="I157" s="34" t="str">
        <x:v>P4.11.S004</x:v>
      </x:c>
      <x:c r="J157" s="34" t="str">
        <x:v>D-12</x:v>
      </x:c>
      <x:c r="K157" s="34" t="str">
        <x:v>Change or evidence attributable to P4.11.S005</x:v>
      </x:c>
      <x:c r="L157" s="34" t="str">
        <x:v>Review the changed artifact and run the nearest relevant automated or lab check.</x:v>
      </x:c>
      <x:c r="M157" s="34" t="str">
        <x:v>Code, documentation, test evidence, or lab evidence named in the task</x:v>
      </x:c>
      <x:c r="N157" s="34" t="str">
        <x:v>not_started</x:v>
      </x:c>
      <x:c r="O157" s="34" t="str">
        <x:v>Developer</x:v>
      </x:c>
      <x:c r="P157" s="34" t="str">
        <x:v>agent</x:v>
      </x:c>
      <x:c r="Q157" s="34" t="str">
        <x:v>p4/P4.11-operator-ui-ui-toolkit</x:v>
      </x:c>
      <x:c r="R157" s="36" t="str"/>
      <x:c r="S157" s="36" t="str"/>
      <x:c r="T157" s="34" t="str"/>
      <x:c r="U157" s="34" t="str"/>
      <x:c r="V157" s="34" t="str">
        <x:v>ELTS Build Plan P4.11</x:v>
      </x:c>
    </x:row>
    <x:row r="158">
      <x:c r="A158" s="10" t="n">
        <x:v>153</x:v>
      </x:c>
      <x:c r="B158" s="10" t="str">
        <x:v>P4.11.S006</x:v>
      </x:c>
      <x:c r="C158" s="10" t="str">
        <x:v>P4.11</x:v>
      </x:c>
      <x:c r="D158" s="10" t="str">
        <x:v>P4</x:v>
      </x:c>
      <x:c r="E158" s="10" t="str">
        <x:v>G4</x:v>
      </x:c>
      <x:c r="F158" s="10" t="str">
        <x:v>WS-C, WS-F</x:v>
      </x:c>
      <x:c r="G158" s="10" t="str">
        <x:v>execution</x:v>
      </x:c>
      <x:c r="H158" s="10" t="str">
        <x:v>Notes: free-text operator notes with timestamps, written to events.csv as OperatorNote.</x:v>
      </x:c>
      <x:c r="I158" s="10" t="str">
        <x:v>P4.11.S005</x:v>
      </x:c>
      <x:c r="J158" s="10" t="str">
        <x:v>D-12</x:v>
      </x:c>
      <x:c r="K158" s="10" t="str">
        <x:v>Change or evidence attributable to P4.11.S006</x:v>
      </x:c>
      <x:c r="L158" s="10" t="str">
        <x:v>Review the changed artifact and run the nearest relevant automated or lab check.</x:v>
      </x:c>
      <x:c r="M158" s="10" t="str">
        <x:v>Code, documentation, test evidence, or lab evidence named in the task</x:v>
      </x:c>
      <x:c r="N158" s="10" t="str">
        <x:v>not_started</x:v>
      </x:c>
      <x:c r="O158" s="10" t="str">
        <x:v>Developer</x:v>
      </x:c>
      <x:c r="P158" s="10" t="str">
        <x:v>agent</x:v>
      </x:c>
      <x:c r="Q158" s="10" t="str">
        <x:v>p4/P4.11-operator-ui-ui-toolkit</x:v>
      </x:c>
      <x:c r="R158" s="35" t="str"/>
      <x:c r="S158" s="35" t="str"/>
      <x:c r="T158" s="10" t="str"/>
      <x:c r="U158" s="10" t="str"/>
      <x:c r="V158" s="10" t="str">
        <x:v>ELTS Build Plan P4.11</x:v>
      </x:c>
    </x:row>
    <x:row r="159">
      <x:c r="A159" s="34" t="n">
        <x:v>154</x:v>
      </x:c>
      <x:c r="B159" s="34" t="str">
        <x:v>P4.11.S007</x:v>
      </x:c>
      <x:c r="C159" s="34" t="str">
        <x:v>P4.11</x:v>
      </x:c>
      <x:c r="D159" s="34" t="str">
        <x:v>P4</x:v>
      </x:c>
      <x:c r="E159" s="34" t="str">
        <x:v>G4</x:v>
      </x:c>
      <x:c r="F159" s="34" t="str">
        <x:v>WS-C, WS-F</x:v>
      </x:c>
      <x:c r="G159" s="34" t="str">
        <x:v>execution</x:v>
      </x:c>
      <x:c r="H159" s="34" t="str">
        <x:v>Sync marker: a button that posts SyncMarker (for D-12; see Appendix D.7).</x:v>
      </x:c>
      <x:c r="I159" s="34" t="str">
        <x:v>P4.11.S006</x:v>
      </x:c>
      <x:c r="J159" s="34" t="str">
        <x:v>D-12</x:v>
      </x:c>
      <x:c r="K159" s="34" t="str">
        <x:v>a lab member can run a full dry session using only the operator screen.</x:v>
      </x:c>
      <x:c r="L159" s="34" t="str">
        <x:v>a lab member can run a full dry session using only the operator screen.</x:v>
      </x:c>
      <x:c r="M159" s="34" t="str">
        <x:v>Code, documentation, test evidence, or lab evidence named in the task</x:v>
      </x:c>
      <x:c r="N159" s="34" t="str">
        <x:v>not_started</x:v>
      </x:c>
      <x:c r="O159" s="34" t="str">
        <x:v>Developer</x:v>
      </x:c>
      <x:c r="P159" s="34" t="str">
        <x:v>agent</x:v>
      </x:c>
      <x:c r="Q159" s="34" t="str">
        <x:v>p4/P4.11-operator-ui-ui-toolkit</x:v>
      </x:c>
      <x:c r="R159" s="36" t="str"/>
      <x:c r="S159" s="36" t="str"/>
      <x:c r="T159" s="34" t="str"/>
      <x:c r="U159" s="34" t="str"/>
      <x:c r="V159" s="34" t="str">
        <x:v>ELTS Build Plan P4.11</x:v>
      </x:c>
    </x:row>
    <x:row r="160">
      <x:c r="A160" s="10" t="n">
        <x:v>155</x:v>
      </x:c>
      <x:c r="B160" s="10" t="str">
        <x:v>P4.11.V001</x:v>
      </x:c>
      <x:c r="C160" s="10" t="str">
        <x:v>P4.11</x:v>
      </x:c>
      <x:c r="D160" s="10" t="str">
        <x:v>P4</x:v>
      </x:c>
      <x:c r="E160" s="10" t="str">
        <x:v>G4</x:v>
      </x:c>
      <x:c r="F160" s="10" t="str">
        <x:v>WS-C, WS-F</x:v>
      </x:c>
      <x:c r="G160" s="10" t="str">
        <x:v>verification</x:v>
      </x:c>
      <x:c r="H160" s="10" t="str">
        <x:v>Verify P4.11 against its completion criteria and attach evidence.</x:v>
      </x:c>
      <x:c r="I160" s="10" t="str">
        <x:v>P4.11.S007</x:v>
      </x:c>
      <x:c r="J160" s="10" t="str">
        <x:v>D-12</x:v>
      </x:c>
      <x:c r="K160" s="10" t="str">
        <x:v>a lab member can run a full dry session using only the operator screen.</x:v>
      </x:c>
      <x:c r="L160" s="10" t="str">
        <x:v>a lab member can run a full dry session using only the operator screen.</x:v>
      </x:c>
      <x:c r="M160" s="10" t="str">
        <x:v>Code, documentation, test evidence, or lab evidence named in the task</x:v>
      </x:c>
      <x:c r="N160" s="10" t="str">
        <x:v>not_started</x:v>
      </x:c>
      <x:c r="O160" s="10" t="str">
        <x:v>Developer</x:v>
      </x:c>
      <x:c r="P160" s="10" t="str">
        <x:v>automated_check</x:v>
      </x:c>
      <x:c r="Q160" s="10" t="str">
        <x:v>p4/P4.11-operator-ui-ui-toolkit</x:v>
      </x:c>
      <x:c r="R160" s="35" t="str"/>
      <x:c r="S160" s="35" t="str"/>
      <x:c r="T160" s="10" t="str"/>
      <x:c r="U160" s="10" t="str"/>
      <x:c r="V160" s="10" t="str">
        <x:v>ELTS Build Plan P4.11</x:v>
      </x:c>
    </x:row>
    <x:row r="161">
      <x:c r="A161" s="34" t="n">
        <x:v>156</x:v>
      </x:c>
      <x:c r="B161" s="34" t="str">
        <x:v>P4.12.S001</x:v>
      </x:c>
      <x:c r="C161" s="34" t="str">
        <x:v>P4.12</x:v>
      </x:c>
      <x:c r="D161" s="34" t="str">
        <x:v>P4</x:v>
      </x:c>
      <x:c r="E161" s="34" t="str">
        <x:v>G4</x:v>
      </x:c>
      <x:c r="F161" s="34" t="str">
        <x:v>WS-C, WS-F</x:v>
      </x:c>
      <x:c r="G161" s="34" t="str">
        <x:v>execution</x:v>
      </x:c>
      <x:c r="H161" s="34" t="str">
        <x:v>Before SessionSetup can proceed: two displays; SteamVR running; both trackers bound and valid for ≥ 2 s; config hashes computed; disk free ≥ 2 GB; logging thread alive; ELTS link reachable (Phase 6; only if the session contains a WE block). Any failure blocks with a specific message.</x:v>
      </x:c>
      <x:c r="I161" s="34" t="str">
        <x:v>P2.1, P2.3, P2.5, P3.5</x:v>
      </x:c>
      <x:c r="J161" s="34" t="str"/>
      <x:c r="K161" s="34" t="str">
        <x:v>each failure mode produces its message.</x:v>
      </x:c>
      <x:c r="L161" s="34" t="str">
        <x:v>each failure mode produces its message.</x:v>
      </x:c>
      <x:c r="M161" s="34" t="str">
        <x:v>Code, documentation, test evidence, or lab evidence named in the task</x:v>
      </x:c>
      <x:c r="N161" s="34" t="str">
        <x:v>not_started</x:v>
      </x:c>
      <x:c r="O161" s="34" t="str">
        <x:v>Developer</x:v>
      </x:c>
      <x:c r="P161" s="34" t="str">
        <x:v>agent</x:v>
      </x:c>
      <x:c r="Q161" s="34" t="str">
        <x:v>p4/P4.12-self-check-at-session-start</x:v>
      </x:c>
      <x:c r="R161" s="36" t="str"/>
      <x:c r="S161" s="36" t="str"/>
      <x:c r="T161" s="34" t="str"/>
      <x:c r="U161" s="34" t="str"/>
      <x:c r="V161" s="34" t="str">
        <x:v>ELTS Build Plan P4.12</x:v>
      </x:c>
    </x:row>
    <x:row r="162">
      <x:c r="A162" s="10" t="n">
        <x:v>157</x:v>
      </x:c>
      <x:c r="B162" s="10" t="str">
        <x:v>P4.12.V001</x:v>
      </x:c>
      <x:c r="C162" s="10" t="str">
        <x:v>P4.12</x:v>
      </x:c>
      <x:c r="D162" s="10" t="str">
        <x:v>P4</x:v>
      </x:c>
      <x:c r="E162" s="10" t="str">
        <x:v>G4</x:v>
      </x:c>
      <x:c r="F162" s="10" t="str">
        <x:v>WS-C, WS-F</x:v>
      </x:c>
      <x:c r="G162" s="10" t="str">
        <x:v>verification</x:v>
      </x:c>
      <x:c r="H162" s="10" t="str">
        <x:v>Verify P4.12 against its completion criteria and attach evidence.</x:v>
      </x:c>
      <x:c r="I162" s="10" t="str">
        <x:v>P4.12.S001</x:v>
      </x:c>
      <x:c r="J162" s="10" t="str"/>
      <x:c r="K162" s="10" t="str">
        <x:v>each failure mode produces its message.</x:v>
      </x:c>
      <x:c r="L162" s="10" t="str">
        <x:v>each failure mode produces its message.</x:v>
      </x:c>
      <x:c r="M162" s="10" t="str">
        <x:v>Code, documentation, test evidence, or lab evidence named in the task</x:v>
      </x:c>
      <x:c r="N162" s="10" t="str">
        <x:v>not_started</x:v>
      </x:c>
      <x:c r="O162" s="10" t="str">
        <x:v>Developer</x:v>
      </x:c>
      <x:c r="P162" s="10" t="str">
        <x:v>automated_check</x:v>
      </x:c>
      <x:c r="Q162" s="10" t="str">
        <x:v>p4/P4.12-self-check-at-session-start</x:v>
      </x:c>
      <x:c r="R162" s="35" t="str"/>
      <x:c r="S162" s="35" t="str"/>
      <x:c r="T162" s="10" t="str"/>
      <x:c r="U162" s="10" t="str"/>
      <x:c r="V162" s="10" t="str">
        <x:v>ELTS Build Plan P4.12</x:v>
      </x:c>
    </x:row>
    <x:row r="163">
      <x:c r="A163" s="34" t="n">
        <x:v>158</x:v>
      </x:c>
      <x:c r="B163" s="34" t="str">
        <x:v>P4.13.S001</x:v>
      </x:c>
      <x:c r="C163" s="34" t="str">
        <x:v>P4.13</x:v>
      </x:c>
      <x:c r="D163" s="34" t="str">
        <x:v>P4</x:v>
      </x:c>
      <x:c r="E163" s="34" t="str">
        <x:v>G4</x:v>
      </x:c>
      <x:c r="F163" s="34" t="str">
        <x:v>WS-C, WS-F</x:v>
      </x:c>
      <x:c r="G163" s="34" t="str">
        <x:v>execution</x:v>
      </x:c>
      <x:c r="H163" s="34" t="str">
        <x:v>A lab member (no weapon yet — bare tracker on a stick) plays a full four-block session. Run ingest.py on the output.</x:v>
      </x:c>
      <x:c r="I163" s="34" t="str">
        <x:v>P4.1:P4.12</x:v>
      </x:c>
      <x:c r="J163" s="34" t="str"/>
      <x:c r="K163" s="34" t="str">
        <x:v>summaries look sane; every event type appears.</x:v>
      </x:c>
      <x:c r="L163" s="34" t="str">
        <x:v>summaries look sane; every event type appears.</x:v>
      </x:c>
      <x:c r="M163" s="34" t="str">
        <x:v>dry-run data in secure non-repository storage plus summary</x:v>
      </x:c>
      <x:c r="N163" s="34" t="str">
        <x:v>not_started</x:v>
      </x:c>
      <x:c r="O163" s="34" t="str">
        <x:v>Developer</x:v>
      </x:c>
      <x:c r="P163" s="34" t="str">
        <x:v>agent</x:v>
      </x:c>
      <x:c r="Q163" s="34" t="str">
        <x:v>p4/P4.13-dry-run</x:v>
      </x:c>
      <x:c r="R163" s="36" t="str"/>
      <x:c r="S163" s="36" t="str"/>
      <x:c r="T163" s="34" t="str"/>
      <x:c r="U163" s="34" t="str"/>
      <x:c r="V163" s="34" t="str">
        <x:v>ELTS Build Plan P4.13</x:v>
      </x:c>
    </x:row>
    <x:row r="164">
      <x:c r="A164" s="10" t="n">
        <x:v>159</x:v>
      </x:c>
      <x:c r="B164" s="10" t="str">
        <x:v>P4.13.V001</x:v>
      </x:c>
      <x:c r="C164" s="10" t="str">
        <x:v>P4.13</x:v>
      </x:c>
      <x:c r="D164" s="10" t="str">
        <x:v>P4</x:v>
      </x:c>
      <x:c r="E164" s="10" t="str">
        <x:v>G4</x:v>
      </x:c>
      <x:c r="F164" s="10" t="str">
        <x:v>WS-C, WS-F</x:v>
      </x:c>
      <x:c r="G164" s="10" t="str">
        <x:v>verification</x:v>
      </x:c>
      <x:c r="H164" s="10" t="str">
        <x:v>Verify P4.13 against its completion criteria and attach evidence.</x:v>
      </x:c>
      <x:c r="I164" s="10" t="str">
        <x:v>P4.13.S001</x:v>
      </x:c>
      <x:c r="J164" s="10" t="str"/>
      <x:c r="K164" s="10" t="str">
        <x:v>summaries look sane; every event type appears.</x:v>
      </x:c>
      <x:c r="L164" s="10" t="str">
        <x:v>summaries look sane; every event type appears.</x:v>
      </x:c>
      <x:c r="M164" s="10" t="str">
        <x:v>dry-run data in secure non-repository storage plus summary</x:v>
      </x:c>
      <x:c r="N164" s="10" t="str">
        <x:v>not_started</x:v>
      </x:c>
      <x:c r="O164" s="10" t="str">
        <x:v>Developer</x:v>
      </x:c>
      <x:c r="P164" s="10" t="str">
        <x:v>automated_check</x:v>
      </x:c>
      <x:c r="Q164" s="10" t="str">
        <x:v>p4/P4.13-dry-run</x:v>
      </x:c>
      <x:c r="R164" s="35" t="str"/>
      <x:c r="S164" s="35" t="str"/>
      <x:c r="T164" s="10" t="str"/>
      <x:c r="U164" s="10" t="str"/>
      <x:c r="V164" s="10" t="str">
        <x:v>ELTS Build Plan P4.13</x:v>
      </x:c>
    </x:row>
    <x:row r="165">
      <x:c r="A165" s="34" t="n">
        <x:v>160</x:v>
      </x:c>
      <x:c r="B165" s="34" t="str">
        <x:v>P5.1.S001</x:v>
      </x:c>
      <x:c r="C165" s="34" t="str">
        <x:v>P5.1</x:v>
      </x:c>
      <x:c r="D165" s="34" t="str">
        <x:v>P5</x:v>
      </x:c>
      <x:c r="E165" s="34" t="str">
        <x:v>G5</x:v>
      </x:c>
      <x:c r="F165" s="34" t="str">
        <x:v>WS-B, WS-C</x:v>
      </x:c>
      <x:c r="G165" s="34" t="str">
        <x:v>verification</x:v>
      </x:c>
      <x:c r="H165" s="34" t="str">
        <x:v>Mount the WEAPON tracker in its cradle on the rifle; wire the trigger to the pogo board; confirm the trigger reads in the app. Measure muzzleOffset and boreDirection in tracker-local (Unity-convention) coordinates per §13.1.6 and enter them in rig.json. Perform the tap test (§13.1.7).</x:v>
      </x:c>
      <x:c r="I165" s="34" t="str">
        <x:v>P1.11, P1.12, P1.13</x:v>
      </x:c>
      <x:c r="J165" s="34" t="str"/>
      <x:c r="K165" s="34" t="str">
        <x:v>trigger fires Shot; bore ray in the operator view visibly runs along the barrel.</x:v>
      </x:c>
      <x:c r="L165" s="34" t="str">
        <x:v>trigger fires Shot; bore ray in the operator view visibly runs along the barrel.</x:v>
      </x:c>
      <x:c r="M165" s="34" t="str">
        <x:v>Code, documentation, test evidence, or lab evidence named in the task</x:v>
      </x:c>
      <x:c r="N165" s="34" t="str">
        <x:v>not_started</x:v>
      </x:c>
      <x:c r="O165" s="34" t="str">
        <x:v>Fabricator and developer</x:v>
      </x:c>
      <x:c r="P165" s="34" t="str">
        <x:v>lab_hardware</x:v>
      </x:c>
      <x:c r="Q165" s="34" t="str">
        <x:v>p5/P5.1-weapon-integration</x:v>
      </x:c>
      <x:c r="R165" s="36" t="str"/>
      <x:c r="S165" s="36" t="str"/>
      <x:c r="T165" s="34" t="str"/>
      <x:c r="U165" s="34" t="str"/>
      <x:c r="V165" s="34" t="str">
        <x:v>ELTS Build Plan P5.1</x:v>
      </x:c>
    </x:row>
    <x:row r="166">
      <x:c r="A166" s="10" t="n">
        <x:v>161</x:v>
      </x:c>
      <x:c r="B166" s="10" t="str">
        <x:v>P5.1.V001</x:v>
      </x:c>
      <x:c r="C166" s="10" t="str">
        <x:v>P5.1</x:v>
      </x:c>
      <x:c r="D166" s="10" t="str">
        <x:v>P5</x:v>
      </x:c>
      <x:c r="E166" s="10" t="str">
        <x:v>G5</x:v>
      </x:c>
      <x:c r="F166" s="10" t="str">
        <x:v>WS-B, WS-C</x:v>
      </x:c>
      <x:c r="G166" s="10" t="str">
        <x:v>verification</x:v>
      </x:c>
      <x:c r="H166" s="10" t="str">
        <x:v>Verify P5.1 against its completion criteria and attach evidence.</x:v>
      </x:c>
      <x:c r="I166" s="10" t="str">
        <x:v>P5.1.S001</x:v>
      </x:c>
      <x:c r="J166" s="10" t="str"/>
      <x:c r="K166" s="10" t="str">
        <x:v>trigger fires Shot; bore ray in the operator view visibly runs along the barrel.</x:v>
      </x:c>
      <x:c r="L166" s="10" t="str">
        <x:v>trigger fires Shot; bore ray in the operator view visibly runs along the barrel.</x:v>
      </x:c>
      <x:c r="M166" s="10" t="str">
        <x:v>Code, documentation, test evidence, or lab evidence named in the task</x:v>
      </x:c>
      <x:c r="N166" s="10" t="str">
        <x:v>not_started</x:v>
      </x:c>
      <x:c r="O166" s="10" t="str">
        <x:v>Fabricator and developer</x:v>
      </x:c>
      <x:c r="P166" s="10" t="str">
        <x:v>lab_hardware</x:v>
      </x:c>
      <x:c r="Q166" s="10" t="str">
        <x:v>p5/P5.1-weapon-integration</x:v>
      </x:c>
      <x:c r="R166" s="35" t="str"/>
      <x:c r="S166" s="35" t="str"/>
      <x:c r="T166" s="10" t="str"/>
      <x:c r="U166" s="10" t="str"/>
      <x:c r="V166" s="10" t="str">
        <x:v>ELTS Build Plan P5.1</x:v>
      </x:c>
    </x:row>
    <x:row r="167">
      <x:c r="A167" s="34" t="n">
        <x:v>162</x:v>
      </x:c>
      <x:c r="B167" s="34" t="str">
        <x:v>P5.2.S001</x:v>
      </x:c>
      <x:c r="C167" s="34" t="str">
        <x:v>P5.2</x:v>
      </x:c>
      <x:c r="D167" s="34" t="str">
        <x:v>P5</x:v>
      </x:c>
      <x:c r="E167" s="34" t="str">
        <x:v>G5</x:v>
      </x:c>
      <x:c r="F167" s="34" t="str">
        <x:v>WS-C, WS-E</x:v>
      </x:c>
      <x:c r="G167" s="34" t="str">
        <x:v>execution</x:v>
      </x:c>
      <x:c r="H167" s="34" t="str">
        <x:v>A common wizard UI on the operator panel: step title, instruction text, live readout, "capture" button (or auto-capture when a stability criterion is met), result summary with accept/redo. All wizards use it.</x:v>
      </x:c>
      <x:c r="I167" s="34" t="str">
        <x:v>G4, P1.13, P5.1 prerequisites</x:v>
      </x:c>
      <x:c r="J167" s="34" t="str"/>
      <x:c r="K167" s="34" t="str">
        <x:v>Acceptance criteria and required evidence are satisfied and recorded.</x:v>
      </x:c>
      <x:c r="L167" s="34" t="str">
        <x:v>Acceptance criteria and required evidence are satisfied and recorded.</x:v>
      </x:c>
      <x:c r="M167" s="34" t="str">
        <x:v>Code, documentation, test evidence, or lab evidence named in the task</x:v>
      </x:c>
      <x:c r="N167" s="34" t="str">
        <x:v>not_started</x:v>
      </x:c>
      <x:c r="O167" s="34" t="str">
        <x:v>Developer</x:v>
      </x:c>
      <x:c r="P167" s="34" t="str">
        <x:v>agent</x:v>
      </x:c>
      <x:c r="Q167" s="34" t="str">
        <x:v>p5/P5.2-wizard-framework</x:v>
      </x:c>
      <x:c r="R167" s="36" t="str"/>
      <x:c r="S167" s="36" t="str"/>
      <x:c r="T167" s="34" t="str"/>
      <x:c r="U167" s="34" t="str"/>
      <x:c r="V167" s="34" t="str">
        <x:v>ELTS Build Plan P5.2</x:v>
      </x:c>
    </x:row>
    <x:row r="168">
      <x:c r="A168" s="10" t="n">
        <x:v>163</x:v>
      </x:c>
      <x:c r="B168" s="10" t="str">
        <x:v>P5.2.V001</x:v>
      </x:c>
      <x:c r="C168" s="10" t="str">
        <x:v>P5.2</x:v>
      </x:c>
      <x:c r="D168" s="10" t="str">
        <x:v>P5</x:v>
      </x:c>
      <x:c r="E168" s="10" t="str">
        <x:v>G5</x:v>
      </x:c>
      <x:c r="F168" s="10" t="str">
        <x:v>WS-C, WS-E</x:v>
      </x:c>
      <x:c r="G168" s="10" t="str">
        <x:v>verification</x:v>
      </x:c>
      <x:c r="H168" s="10" t="str">
        <x:v>Verify P5.2 against its completion criteria and attach evidence.</x:v>
      </x:c>
      <x:c r="I168" s="10" t="str">
        <x:v>P5.2.S001</x:v>
      </x:c>
      <x:c r="J168" s="10" t="str"/>
      <x:c r="K168" s="10" t="str">
        <x:v>Acceptance criteria and required evidence are satisfied and recorded.</x:v>
      </x:c>
      <x:c r="L168" s="10" t="str">
        <x:v>Acceptance criteria and required evidence are satisfied and recorded.</x:v>
      </x:c>
      <x:c r="M168" s="10" t="str">
        <x:v>Code, documentation, test evidence, or lab evidence named in the task</x:v>
      </x:c>
      <x:c r="N168" s="10" t="str">
        <x:v>not_started</x:v>
      </x:c>
      <x:c r="O168" s="10" t="str">
        <x:v>Developer</x:v>
      </x:c>
      <x:c r="P168" s="10" t="str">
        <x:v>automated_check</x:v>
      </x:c>
      <x:c r="Q168" s="10" t="str">
        <x:v>p5/P5.2-wizard-framework</x:v>
      </x:c>
      <x:c r="R168" s="35" t="str"/>
      <x:c r="S168" s="35" t="str"/>
      <x:c r="T168" s="10" t="str"/>
      <x:c r="U168" s="10" t="str"/>
      <x:c r="V168" s="10" t="str">
        <x:v>ELTS Build Plan P5.2</x:v>
      </x:c>
    </x:row>
    <x:row r="169">
      <x:c r="A169" s="34" t="n">
        <x:v>164</x:v>
      </x:c>
      <x:c r="B169" s="34" t="str">
        <x:v>P5.3.S001</x:v>
      </x:c>
      <x:c r="C169" s="34" t="str">
        <x:v>P5.3</x:v>
      </x:c>
      <x:c r="D169" s="34" t="str">
        <x:v>P5</x:v>
      </x:c>
      <x:c r="E169" s="34" t="str">
        <x:v>G5</x:v>
      </x:c>
      <x:c r="F169" s="34" t="str">
        <x:v>WS-C, WS-E</x:v>
      </x:c>
      <x:c r="G169" s="34" t="str">
        <x:v>documentation</x:v>
      </x:c>
      <x:c r="H169" s="34" t="str">
        <x:v>Head tracker on the pivot probe, tip held in a dimple; operator rotates it through ≥ ±30° in two axes while the wizard captures ≥ 200 valid samples; solve per Appendix F.4; report tip offset and RMS residual (accept if residual &lt; 2 mm — provisional, see D-17). Writes probeTipOffset to calibration_rig.json.</x:v>
      </x:c>
      <x:c r="I169" s="34" t="str">
        <x:v>P5.2, P1.13</x:v>
      </x:c>
      <x:c r="J169" s="34" t="str">
        <x:v>D-17</x:v>
      </x:c>
      <x:c r="K169" s="34" t="str">
        <x:v>repeat twice; tip offsets agree within 1 mm.</x:v>
      </x:c>
      <x:c r="L169" s="34" t="str">
        <x:v>repeat twice; tip offsets agree within 1 mm.</x:v>
      </x:c>
      <x:c r="M169" s="34" t="str">
        <x:v>calibration wizard and residual evidence</x:v>
      </x:c>
      <x:c r="N169" s="34" t="str">
        <x:v>not_started</x:v>
      </x:c>
      <x:c r="O169" s="34" t="str">
        <x:v>Developer</x:v>
      </x:c>
      <x:c r="P169" s="34" t="str">
        <x:v>lab_hardware</x:v>
      </x:c>
      <x:c r="Q169" s="34" t="str">
        <x:v>p5/P5.3-pivot-calibration-wizard-once-per-rig</x:v>
      </x:c>
      <x:c r="R169" s="36" t="str"/>
      <x:c r="S169" s="36" t="str"/>
      <x:c r="T169" s="34" t="str"/>
      <x:c r="U169" s="34" t="str"/>
      <x:c r="V169" s="34" t="str">
        <x:v>ELTS Build Plan P5.3</x:v>
      </x:c>
    </x:row>
    <x:row r="170">
      <x:c r="A170" s="10" t="n">
        <x:v>165</x:v>
      </x:c>
      <x:c r="B170" s="10" t="str">
        <x:v>P5.3.V001</x:v>
      </x:c>
      <x:c r="C170" s="10" t="str">
        <x:v>P5.3</x:v>
      </x:c>
      <x:c r="D170" s="10" t="str">
        <x:v>P5</x:v>
      </x:c>
      <x:c r="E170" s="10" t="str">
        <x:v>G5</x:v>
      </x:c>
      <x:c r="F170" s="10" t="str">
        <x:v>WS-C, WS-E</x:v>
      </x:c>
      <x:c r="G170" s="10" t="str">
        <x:v>verification</x:v>
      </x:c>
      <x:c r="H170" s="10" t="str">
        <x:v>Verify P5.3 against its completion criteria and attach evidence.</x:v>
      </x:c>
      <x:c r="I170" s="10" t="str">
        <x:v>P5.3.S001</x:v>
      </x:c>
      <x:c r="J170" s="10" t="str">
        <x:v>D-17</x:v>
      </x:c>
      <x:c r="K170" s="10" t="str">
        <x:v>repeat twice; tip offsets agree within 1 mm.</x:v>
      </x:c>
      <x:c r="L170" s="10" t="str">
        <x:v>repeat twice; tip offsets agree within 1 mm.</x:v>
      </x:c>
      <x:c r="M170" s="10" t="str">
        <x:v>calibration wizard and residual evidence</x:v>
      </x:c>
      <x:c r="N170" s="10" t="str">
        <x:v>not_started</x:v>
      </x:c>
      <x:c r="O170" s="10" t="str">
        <x:v>Developer</x:v>
      </x:c>
      <x:c r="P170" s="10" t="str">
        <x:v>lab_hardware</x:v>
      </x:c>
      <x:c r="Q170" s="10" t="str">
        <x:v>p5/P5.3-pivot-calibration-wizard-once-per-rig</x:v>
      </x:c>
      <x:c r="R170" s="35" t="str"/>
      <x:c r="S170" s="35" t="str"/>
      <x:c r="T170" s="10" t="str"/>
      <x:c r="U170" s="10" t="str"/>
      <x:c r="V170" s="10" t="str">
        <x:v>ELTS Build Plan P5.3</x:v>
      </x:c>
    </x:row>
    <x:row r="171">
      <x:c r="A171" s="34" t="n">
        <x:v>166</x:v>
      </x:c>
      <x:c r="B171" s="34" t="str">
        <x:v>P5.4.S001</x:v>
      </x:c>
      <x:c r="C171" s="34" t="str">
        <x:v>P5.4</x:v>
      </x:c>
      <x:c r="D171" s="34" t="str">
        <x:v>P5</x:v>
      </x:c>
      <x:c r="E171" s="34" t="str">
        <x:v>G5</x:v>
      </x:c>
      <x:c r="F171" s="34" t="str">
        <x:v>WS-C, WS-E</x:v>
      </x:c>
      <x:c r="G171" s="34" t="str">
        <x:v>verification</x:v>
      </x:c>
      <x:c r="H171" s="34" t="str">
        <x:v>Touch top-left, top-right, bottom-left (and bottom-right as a consistency check) with the probe tip; each capture averages 1 s of valid samples; derive O, U, V per Appendix F.7; orthogonalize V against U preserving |V|; report |U|, |V| vs. the measured physical size (accept within 5 mm — provisional), the U–V angle (accept 90° ± 0.5° — provisional), and the bottom-right consistency error. Writes to calibration_rig.json with a timestamp. Refreshes the physical/virtual corner rods.</x:v>
      </x:c>
      <x:c r="I171" s="34" t="str">
        <x:v>P5.2, P5.3</x:v>
      </x:c>
      <x:c r="J171" s="34" t="str"/>
      <x:c r="K171" s="34" t="str">
        <x:v>corner rods align from three viewpoints using the probed values rather than the P3.1 tape-measure values.</x:v>
      </x:c>
      <x:c r="L171" s="34" t="str">
        <x:v>corner rods align from three viewpoints using the probed values rather than the P3.1 tape-measure values.</x:v>
      </x:c>
      <x:c r="M171" s="34" t="str">
        <x:v>calibration_rig output and rod evidence</x:v>
      </x:c>
      <x:c r="N171" s="34" t="str">
        <x:v>not_started</x:v>
      </x:c>
      <x:c r="O171" s="34" t="str">
        <x:v>Developer</x:v>
      </x:c>
      <x:c r="P171" s="34" t="str">
        <x:v>lab_hardware</x:v>
      </x:c>
      <x:c r="Q171" s="34" t="str">
        <x:v>p5/P5.4-corner-probe-wizard-once-per-rig-and-after-an</x:v>
      </x:c>
      <x:c r="R171" s="36" t="str"/>
      <x:c r="S171" s="36" t="str"/>
      <x:c r="T171" s="34" t="str"/>
      <x:c r="U171" s="34" t="str"/>
      <x:c r="V171" s="34" t="str">
        <x:v>ELTS Build Plan P5.4</x:v>
      </x:c>
    </x:row>
    <x:row r="172">
      <x:c r="A172" s="10" t="n">
        <x:v>167</x:v>
      </x:c>
      <x:c r="B172" s="10" t="str">
        <x:v>P5.4.V001</x:v>
      </x:c>
      <x:c r="C172" s="10" t="str">
        <x:v>P5.4</x:v>
      </x:c>
      <x:c r="D172" s="10" t="str">
        <x:v>P5</x:v>
      </x:c>
      <x:c r="E172" s="10" t="str">
        <x:v>G5</x:v>
      </x:c>
      <x:c r="F172" s="10" t="str">
        <x:v>WS-C, WS-E</x:v>
      </x:c>
      <x:c r="G172" s="10" t="str">
        <x:v>verification</x:v>
      </x:c>
      <x:c r="H172" s="10" t="str">
        <x:v>Verify P5.4 against its completion criteria and attach evidence.</x:v>
      </x:c>
      <x:c r="I172" s="10" t="str">
        <x:v>P5.4.S001</x:v>
      </x:c>
      <x:c r="J172" s="10" t="str"/>
      <x:c r="K172" s="10" t="str">
        <x:v>corner rods align from three viewpoints using the probed values rather than the P3.1 tape-measure values.</x:v>
      </x:c>
      <x:c r="L172" s="10" t="str">
        <x:v>corner rods align from three viewpoints using the probed values rather than the P3.1 tape-measure values.</x:v>
      </x:c>
      <x:c r="M172" s="10" t="str">
        <x:v>calibration_rig output and rod evidence</x:v>
      </x:c>
      <x:c r="N172" s="10" t="str">
        <x:v>not_started</x:v>
      </x:c>
      <x:c r="O172" s="10" t="str">
        <x:v>Developer</x:v>
      </x:c>
      <x:c r="P172" s="10" t="str">
        <x:v>lab_hardware</x:v>
      </x:c>
      <x:c r="Q172" s="10" t="str">
        <x:v>p5/P5.4-corner-probe-wizard-once-per-rig-and-after-an</x:v>
      </x:c>
      <x:c r="R172" s="35" t="str"/>
      <x:c r="S172" s="35" t="str"/>
      <x:c r="T172" s="10" t="str"/>
      <x:c r="U172" s="10" t="str"/>
      <x:c r="V172" s="10" t="str">
        <x:v>ELTS Build Plan P5.4</x:v>
      </x:c>
    </x:row>
    <x:row r="173">
      <x:c r="A173" s="34" t="n">
        <x:v>168</x:v>
      </x:c>
      <x:c r="B173" s="34" t="str">
        <x:v>P5.5.S001</x:v>
      </x:c>
      <x:c r="C173" s="34" t="str">
        <x:v>P5.5</x:v>
      </x:c>
      <x:c r="D173" s="34" t="str">
        <x:v>P5</x:v>
      </x:c>
      <x:c r="E173" s="34" t="str">
        <x:v>G5</x:v>
      </x:c>
      <x:c r="F173" s="34" t="str">
        <x:v>WS-C, WS-E</x:v>
      </x:c>
      <x:c r="G173" s="34" t="str">
        <x:v>verification</x:v>
      </x:c>
      <x:c r="H173" s="34" t="str">
        <x:v>Instruction screen for the Miles test (Appendix C.3); operator records L/R into the participant record. Determines which eye the offset is calibrated to.</x:v>
      </x:c>
      <x:c r="I173" s="34" t="str">
        <x:v>P5.2</x:v>
      </x:c>
      <x:c r="J173" s="34" t="str"/>
      <x:c r="K173" s="34" t="str">
        <x:v>Acceptance criteria and required evidence are satisfied and recorded.</x:v>
      </x:c>
      <x:c r="L173" s="34" t="str">
        <x:v>Acceptance criteria and required evidence are satisfied and recorded.</x:v>
      </x:c>
      <x:c r="M173" s="34" t="str">
        <x:v>Code, documentation, test evidence, or lab evidence named in the task</x:v>
      </x:c>
      <x:c r="N173" s="34" t="str">
        <x:v>not_started</x:v>
      </x:c>
      <x:c r="O173" s="34" t="str">
        <x:v>Developer</x:v>
      </x:c>
      <x:c r="P173" s="34" t="str">
        <x:v>lab_hardware</x:v>
      </x:c>
      <x:c r="Q173" s="34" t="str">
        <x:v>p5/P5.5-dominant-eye-determination-per-participant</x:v>
      </x:c>
      <x:c r="R173" s="36" t="str"/>
      <x:c r="S173" s="36" t="str"/>
      <x:c r="T173" s="34" t="str"/>
      <x:c r="U173" s="34" t="str"/>
      <x:c r="V173" s="34" t="str">
        <x:v>ELTS Build Plan P5.5</x:v>
      </x:c>
    </x:row>
    <x:row r="174">
      <x:c r="A174" s="10" t="n">
        <x:v>169</x:v>
      </x:c>
      <x:c r="B174" s="10" t="str">
        <x:v>P5.5.V001</x:v>
      </x:c>
      <x:c r="C174" s="10" t="str">
        <x:v>P5.5</x:v>
      </x:c>
      <x:c r="D174" s="10" t="str">
        <x:v>P5</x:v>
      </x:c>
      <x:c r="E174" s="10" t="str">
        <x:v>G5</x:v>
      </x:c>
      <x:c r="F174" s="10" t="str">
        <x:v>WS-C, WS-E</x:v>
      </x:c>
      <x:c r="G174" s="10" t="str">
        <x:v>verification</x:v>
      </x:c>
      <x:c r="H174" s="10" t="str">
        <x:v>Verify P5.5 against its completion criteria and attach evidence.</x:v>
      </x:c>
      <x:c r="I174" s="10" t="str">
        <x:v>P5.5.S001</x:v>
      </x:c>
      <x:c r="J174" s="10" t="str"/>
      <x:c r="K174" s="10" t="str">
        <x:v>Acceptance criteria and required evidence are satisfied and recorded.</x:v>
      </x:c>
      <x:c r="L174" s="10" t="str">
        <x:v>Acceptance criteria and required evidence are satisfied and recorded.</x:v>
      </x:c>
      <x:c r="M174" s="10" t="str">
        <x:v>Code, documentation, test evidence, or lab evidence named in the task</x:v>
      </x:c>
      <x:c r="N174" s="10" t="str">
        <x:v>not_started</x:v>
      </x:c>
      <x:c r="O174" s="10" t="str">
        <x:v>Developer</x:v>
      </x:c>
      <x:c r="P174" s="10" t="str">
        <x:v>lab_hardware</x:v>
      </x:c>
      <x:c r="Q174" s="10" t="str">
        <x:v>p5/P5.5-dominant-eye-determination-per-participant</x:v>
      </x:c>
      <x:c r="R174" s="35" t="str"/>
      <x:c r="S174" s="35" t="str"/>
      <x:c r="T174" s="10" t="str"/>
      <x:c r="U174" s="10" t="str"/>
      <x:c r="V174" s="10" t="str">
        <x:v>ELTS Build Plan P5.5</x:v>
      </x:c>
    </x:row>
    <x:row r="175">
      <x:c r="A175" s="34" t="n">
        <x:v>170</x:v>
      </x:c>
      <x:c r="B175" s="34" t="str">
        <x:v>P5.6.S001</x:v>
      </x:c>
      <x:c r="C175" s="34" t="str">
        <x:v>P5.6</x:v>
      </x:c>
      <x:c r="D175" s="34" t="str">
        <x:v>P5</x:v>
      </x:c>
      <x:c r="E175" s="34" t="str">
        <x:v>G5</x:v>
      </x:c>
      <x:c r="F175" s="34" t="str">
        <x:v>WS-C, WS-E</x:v>
      </x:c>
      <x:c r="G175" s="34" t="str">
        <x:v>verification</x:v>
      </x:c>
      <x:c r="H175" s="34" t="str">
        <x:v>Operator measures and enters the three tracker-to-dominant-eye offsets per Appendix C.4 (ruler method); the wizard shows the resulting eye marker in the operator view for a sanity check against the participant's actual eye. Written to calibration.json in the participant folder. (An optional line-of-sight refinement is described in Appendix C.4 and is adopted only if D-17's residual thresholds cannot be met with the ruler method.)</x:v>
      </x:c>
      <x:c r="I175" s="34" t="str">
        <x:v>P5.2, P5.5</x:v>
      </x:c>
      <x:c r="J175" s="34" t="str">
        <x:v>D-17</x:v>
      </x:c>
      <x:c r="K175" s="34" t="str">
        <x:v>Acceptance criteria and required evidence are satisfied and recorded.</x:v>
      </x:c>
      <x:c r="L175" s="34" t="str">
        <x:v>Acceptance criteria and required evidence are satisfied and recorded.</x:v>
      </x:c>
      <x:c r="M175" s="34" t="str">
        <x:v>Code, documentation, test evidence, or lab evidence named in the task</x:v>
      </x:c>
      <x:c r="N175" s="34" t="str">
        <x:v>not_started</x:v>
      </x:c>
      <x:c r="O175" s="34" t="str">
        <x:v>Developer</x:v>
      </x:c>
      <x:c r="P175" s="34" t="str">
        <x:v>lab_hardware</x:v>
      </x:c>
      <x:c r="Q175" s="34" t="str">
        <x:v>p5/P5.6-eye-offset-entry-per-participant</x:v>
      </x:c>
      <x:c r="R175" s="36" t="str"/>
      <x:c r="S175" s="36" t="str"/>
      <x:c r="T175" s="34" t="str"/>
      <x:c r="U175" s="34" t="str"/>
      <x:c r="V175" s="34" t="str">
        <x:v>ELTS Build Plan P5.6</x:v>
      </x:c>
    </x:row>
    <x:row r="176">
      <x:c r="A176" s="10" t="n">
        <x:v>171</x:v>
      </x:c>
      <x:c r="B176" s="10" t="str">
        <x:v>P5.6.V001</x:v>
      </x:c>
      <x:c r="C176" s="10" t="str">
        <x:v>P5.6</x:v>
      </x:c>
      <x:c r="D176" s="10" t="str">
        <x:v>P5</x:v>
      </x:c>
      <x:c r="E176" s="10" t="str">
        <x:v>G5</x:v>
      </x:c>
      <x:c r="F176" s="10" t="str">
        <x:v>WS-C, WS-E</x:v>
      </x:c>
      <x:c r="G176" s="10" t="str">
        <x:v>verification</x:v>
      </x:c>
      <x:c r="H176" s="10" t="str">
        <x:v>Verify P5.6 against its completion criteria and attach evidence.</x:v>
      </x:c>
      <x:c r="I176" s="10" t="str">
        <x:v>P5.6.S001</x:v>
      </x:c>
      <x:c r="J176" s="10" t="str">
        <x:v>D-17</x:v>
      </x:c>
      <x:c r="K176" s="10" t="str">
        <x:v>Acceptance criteria and required evidence are satisfied and recorded.</x:v>
      </x:c>
      <x:c r="L176" s="10" t="str">
        <x:v>Acceptance criteria and required evidence are satisfied and recorded.</x:v>
      </x:c>
      <x:c r="M176" s="10" t="str">
        <x:v>Code, documentation, test evidence, or lab evidence named in the task</x:v>
      </x:c>
      <x:c r="N176" s="10" t="str">
        <x:v>not_started</x:v>
      </x:c>
      <x:c r="O176" s="10" t="str">
        <x:v>Developer</x:v>
      </x:c>
      <x:c r="P176" s="10" t="str">
        <x:v>lab_hardware</x:v>
      </x:c>
      <x:c r="Q176" s="10" t="str">
        <x:v>p5/P5.6-eye-offset-entry-per-participant</x:v>
      </x:c>
      <x:c r="R176" s="35" t="str"/>
      <x:c r="S176" s="35" t="str"/>
      <x:c r="T176" s="10" t="str"/>
      <x:c r="U176" s="10" t="str"/>
      <x:c r="V176" s="10" t="str">
        <x:v>ELTS Build Plan P5.6</x:v>
      </x:c>
    </x:row>
    <x:row r="177">
      <x:c r="A177" s="34" t="n">
        <x:v>172</x:v>
      </x:c>
      <x:c r="B177" s="34" t="str">
        <x:v>P5.7.S001</x:v>
      </x:c>
      <x:c r="C177" s="34" t="str">
        <x:v>P5.7</x:v>
      </x:c>
      <x:c r="D177" s="34" t="str">
        <x:v>P5</x:v>
      </x:c>
      <x:c r="E177" s="34" t="str">
        <x:v>G5</x:v>
      </x:c>
      <x:c r="F177" s="34" t="str">
        <x:v>WS-C, WS-E</x:v>
      </x:c>
      <x:c r="G177" s="34" t="str">
        <x:v>documentation</x:v>
      </x:c>
      <x:c r="H177" s="34" t="str">
        <x:v>Participant shoulders the rifle naturally and holds the sights on a rendered center dot; when the pose has been valid and angular velocity below a threshold for 2 s, the wizard captures 2 s of samples and solves per Appendix F.5. Reports the correction angle (warn if &gt; 5° — indicates a mount or sighting problem) and writes zeroCorrection to the participant's calibration.json.</x:v>
      </x:c>
      <x:c r="I177" s="34" t="str">
        <x:v>P5.1, P5.2, P5.4</x:v>
      </x:c>
      <x:c r="J177" s="34" t="str"/>
      <x:c r="K177" s="34" t="str">
        <x:v>after zeroing, the bore-ray marker sits on the center dot when the participant holds on it.</x:v>
      </x:c>
      <x:c r="L177" s="34" t="str">
        <x:v>after zeroing, the bore-ray marker sits on the center dot when the participant holds on it.</x:v>
      </x:c>
      <x:c r="M177" s="34" t="str">
        <x:v>Code, documentation, test evidence, or lab evidence named in the task</x:v>
      </x:c>
      <x:c r="N177" s="34" t="str">
        <x:v>not_started</x:v>
      </x:c>
      <x:c r="O177" s="34" t="str">
        <x:v>Developer</x:v>
      </x:c>
      <x:c r="P177" s="34" t="str">
        <x:v>lab_hardware</x:v>
      </x:c>
      <x:c r="Q177" s="34" t="str">
        <x:v>p5/P5.7-weapon-zero-wizard-per-participant</x:v>
      </x:c>
      <x:c r="R177" s="36" t="str"/>
      <x:c r="S177" s="36" t="str"/>
      <x:c r="T177" s="34" t="str"/>
      <x:c r="U177" s="34" t="str"/>
      <x:c r="V177" s="34" t="str">
        <x:v>ELTS Build Plan P5.7</x:v>
      </x:c>
    </x:row>
    <x:row r="178">
      <x:c r="A178" s="10" t="n">
        <x:v>173</x:v>
      </x:c>
      <x:c r="B178" s="10" t="str">
        <x:v>P5.7.V001</x:v>
      </x:c>
      <x:c r="C178" s="10" t="str">
        <x:v>P5.7</x:v>
      </x:c>
      <x:c r="D178" s="10" t="str">
        <x:v>P5</x:v>
      </x:c>
      <x:c r="E178" s="10" t="str">
        <x:v>G5</x:v>
      </x:c>
      <x:c r="F178" s="10" t="str">
        <x:v>WS-C, WS-E</x:v>
      </x:c>
      <x:c r="G178" s="10" t="str">
        <x:v>verification</x:v>
      </x:c>
      <x:c r="H178" s="10" t="str">
        <x:v>Verify P5.7 against its completion criteria and attach evidence.</x:v>
      </x:c>
      <x:c r="I178" s="10" t="str">
        <x:v>P5.7.S001</x:v>
      </x:c>
      <x:c r="J178" s="10" t="str"/>
      <x:c r="K178" s="10" t="str">
        <x:v>after zeroing, the bore-ray marker sits on the center dot when the participant holds on it.</x:v>
      </x:c>
      <x:c r="L178" s="10" t="str">
        <x:v>after zeroing, the bore-ray marker sits on the center dot when the participant holds on it.</x:v>
      </x:c>
      <x:c r="M178" s="10" t="str">
        <x:v>Code, documentation, test evidence, or lab evidence named in the task</x:v>
      </x:c>
      <x:c r="N178" s="10" t="str">
        <x:v>not_started</x:v>
      </x:c>
      <x:c r="O178" s="10" t="str">
        <x:v>Developer</x:v>
      </x:c>
      <x:c r="P178" s="10" t="str">
        <x:v>lab_hardware</x:v>
      </x:c>
      <x:c r="Q178" s="10" t="str">
        <x:v>p5/P5.7-weapon-zero-wizard-per-participant</x:v>
      </x:c>
      <x:c r="R178" s="35" t="str"/>
      <x:c r="S178" s="35" t="str"/>
      <x:c r="T178" s="10" t="str"/>
      <x:c r="U178" s="10" t="str"/>
      <x:c r="V178" s="10" t="str">
        <x:v>ELTS Build Plan P5.7</x:v>
      </x:c>
    </x:row>
    <x:row r="179">
      <x:c r="A179" s="34" t="n">
        <x:v>174</x:v>
      </x:c>
      <x:c r="B179" s="34" t="str">
        <x:v>P5.8.S001</x:v>
      </x:c>
      <x:c r="C179" s="34" t="str">
        <x:v>P5.8</x:v>
      </x:c>
      <x:c r="D179" s="34" t="str">
        <x:v>P5</x:v>
      </x:c>
      <x:c r="E179" s="34" t="str">
        <x:v>G5</x:v>
      </x:c>
      <x:c r="F179" s="34" t="str">
        <x:v>WS-C, WS-E</x:v>
      </x:c>
      <x:c r="G179" s="34" t="str">
        <x:v>documentation</x:v>
      </x:c>
      <x:c r="H179" s="34" t="str">
        <x:v>Nine dots at known world positions on the screen plane (config). Participant aims at each from a supported rest and pulls the trigger; the wizard records the angular residual per dot, mean, max, and writes them to calibration.json and to a Verification event. Accept if mean ≤ 1.0° and max ≤ 2.0° (provisional — D-17); otherwise offer re-zero.</x:v>
      </x:c>
      <x:c r="I179" s="34" t="str">
        <x:v>P5.4, P5.7</x:v>
      </x:c>
      <x:c r="J179" s="34" t="str">
        <x:v>D-17</x:v>
      </x:c>
      <x:c r="K179" s="34" t="str">
        <x:v>three lab members complete it; residuals recorded.</x:v>
      </x:c>
      <x:c r="L179" s="34" t="str">
        <x:v>three lab members complete it; residuals recorded.</x:v>
      </x:c>
      <x:c r="M179" s="34" t="str">
        <x:v>verification outputs</x:v>
      </x:c>
      <x:c r="N179" s="34" t="str">
        <x:v>not_started</x:v>
      </x:c>
      <x:c r="O179" s="34" t="str">
        <x:v>Developer</x:v>
      </x:c>
      <x:c r="P179" s="34" t="str">
        <x:v>lab_hardware</x:v>
      </x:c>
      <x:c r="Q179" s="34" t="str">
        <x:v>p5/P5.8-3-3-verification-wizard-per-participant</x:v>
      </x:c>
      <x:c r="R179" s="36" t="str"/>
      <x:c r="S179" s="36" t="str"/>
      <x:c r="T179" s="34" t="str"/>
      <x:c r="U179" s="34" t="str"/>
      <x:c r="V179" s="34" t="str">
        <x:v>ELTS Build Plan P5.8</x:v>
      </x:c>
    </x:row>
    <x:row r="180">
      <x:c r="A180" s="10" t="n">
        <x:v>175</x:v>
      </x:c>
      <x:c r="B180" s="10" t="str">
        <x:v>P5.8.V001</x:v>
      </x:c>
      <x:c r="C180" s="10" t="str">
        <x:v>P5.8</x:v>
      </x:c>
      <x:c r="D180" s="10" t="str">
        <x:v>P5</x:v>
      </x:c>
      <x:c r="E180" s="10" t="str">
        <x:v>G5</x:v>
      </x:c>
      <x:c r="F180" s="10" t="str">
        <x:v>WS-C, WS-E</x:v>
      </x:c>
      <x:c r="G180" s="10" t="str">
        <x:v>verification</x:v>
      </x:c>
      <x:c r="H180" s="10" t="str">
        <x:v>Verify P5.8 against its completion criteria and attach evidence.</x:v>
      </x:c>
      <x:c r="I180" s="10" t="str">
        <x:v>P5.8.S001</x:v>
      </x:c>
      <x:c r="J180" s="10" t="str">
        <x:v>D-17</x:v>
      </x:c>
      <x:c r="K180" s="10" t="str">
        <x:v>three lab members complete it; residuals recorded.</x:v>
      </x:c>
      <x:c r="L180" s="10" t="str">
        <x:v>three lab members complete it; residuals recorded.</x:v>
      </x:c>
      <x:c r="M180" s="10" t="str">
        <x:v>verification outputs</x:v>
      </x:c>
      <x:c r="N180" s="10" t="str">
        <x:v>not_started</x:v>
      </x:c>
      <x:c r="O180" s="10" t="str">
        <x:v>Developer</x:v>
      </x:c>
      <x:c r="P180" s="10" t="str">
        <x:v>lab_hardware</x:v>
      </x:c>
      <x:c r="Q180" s="10" t="str">
        <x:v>p5/P5.8-3-3-verification-wizard-per-participant</x:v>
      </x:c>
      <x:c r="R180" s="35" t="str"/>
      <x:c r="S180" s="35" t="str"/>
      <x:c r="T180" s="10" t="str"/>
      <x:c r="U180" s="10" t="str"/>
      <x:c r="V180" s="10" t="str">
        <x:v>ELTS Build Plan P5.8</x:v>
      </x:c>
    </x:row>
    <x:row r="181">
      <x:c r="A181" s="34" t="n">
        <x:v>176</x:v>
      </x:c>
      <x:c r="B181" s="34" t="str">
        <x:v>P5.9.S001</x:v>
      </x:c>
      <x:c r="C181" s="34" t="str">
        <x:v>P5.9</x:v>
      </x:c>
      <x:c r="D181" s="34" t="str">
        <x:v>P5</x:v>
      </x:c>
      <x:c r="E181" s="34" t="str">
        <x:v>G5</x:v>
      </x:c>
      <x:c r="F181" s="34" t="str">
        <x:v>WS-C, WS-E</x:v>
      </x:c>
      <x:c r="G181" s="34" t="str">
        <x:v>verification</x:v>
      </x:c>
      <x:c r="H181" s="34" t="str">
        <x:v>A separate one-minute procedure (Appendix C.6; includes a one-time laserZero capture) using a laser bore-sighter in the muzzle, checked at 5 points, that verifies the apparatus registration without any human sighting error. Run at the start of every data-collection day; result logged to a rig_checks.csv. This is the early warning that the base station or display has shifted.</x:v>
      </x:c>
      <x:c r="I181" s="34" t="str">
        <x:v>P5.1, P5.4</x:v>
      </x:c>
      <x:c r="J181" s="34" t="str"/>
      <x:c r="K181" s="34" t="str">
        <x:v>procedure written; two consecutive days of checks agree within the provisional threshold.</x:v>
      </x:c>
      <x:c r="L181" s="34" t="str">
        <x:v>procedure written; two consecutive days of checks agree within the provisional threshold.</x:v>
      </x:c>
      <x:c r="M181" s="34" t="str">
        <x:v>rig_checks.csv outside Git plus procedure</x:v>
      </x:c>
      <x:c r="N181" s="34" t="str">
        <x:v>not_started</x:v>
      </x:c>
      <x:c r="O181" s="34" t="str">
        <x:v>Developer</x:v>
      </x:c>
      <x:c r="P181" s="34" t="str">
        <x:v>lab_hardware</x:v>
      </x:c>
      <x:c r="Q181" s="34" t="str">
        <x:v>p5/P5.9-daily-rig-check-bore-laser</x:v>
      </x:c>
      <x:c r="R181" s="36" t="str"/>
      <x:c r="S181" s="36" t="str"/>
      <x:c r="T181" s="34" t="str"/>
      <x:c r="U181" s="34" t="str"/>
      <x:c r="V181" s="34" t="str">
        <x:v>ELTS Build Plan P5.9</x:v>
      </x:c>
    </x:row>
    <x:row r="182">
      <x:c r="A182" s="10" t="n">
        <x:v>177</x:v>
      </x:c>
      <x:c r="B182" s="10" t="str">
        <x:v>P5.9.V001</x:v>
      </x:c>
      <x:c r="C182" s="10" t="str">
        <x:v>P5.9</x:v>
      </x:c>
      <x:c r="D182" s="10" t="str">
        <x:v>P5</x:v>
      </x:c>
      <x:c r="E182" s="10" t="str">
        <x:v>G5</x:v>
      </x:c>
      <x:c r="F182" s="10" t="str">
        <x:v>WS-C, WS-E</x:v>
      </x:c>
      <x:c r="G182" s="10" t="str">
        <x:v>verification</x:v>
      </x:c>
      <x:c r="H182" s="10" t="str">
        <x:v>Verify P5.9 against its completion criteria and attach evidence.</x:v>
      </x:c>
      <x:c r="I182" s="10" t="str">
        <x:v>P5.9.S001</x:v>
      </x:c>
      <x:c r="J182" s="10" t="str"/>
      <x:c r="K182" s="10" t="str">
        <x:v>procedure written; two consecutive days of checks agree within the provisional threshold.</x:v>
      </x:c>
      <x:c r="L182" s="10" t="str">
        <x:v>procedure written; two consecutive days of checks agree within the provisional threshold.</x:v>
      </x:c>
      <x:c r="M182" s="10" t="str">
        <x:v>rig_checks.csv outside Git plus procedure</x:v>
      </x:c>
      <x:c r="N182" s="10" t="str">
        <x:v>not_started</x:v>
      </x:c>
      <x:c r="O182" s="10" t="str">
        <x:v>Developer</x:v>
      </x:c>
      <x:c r="P182" s="10" t="str">
        <x:v>lab_hardware</x:v>
      </x:c>
      <x:c r="Q182" s="10" t="str">
        <x:v>p5/P5.9-daily-rig-check-bore-laser</x:v>
      </x:c>
      <x:c r="R182" s="35" t="str"/>
      <x:c r="S182" s="35" t="str"/>
      <x:c r="T182" s="10" t="str"/>
      <x:c r="U182" s="10" t="str"/>
      <x:c r="V182" s="10" t="str">
        <x:v>ELTS Build Plan P5.9</x:v>
      </x:c>
    </x:row>
    <x:row r="183">
      <x:c r="A183" s="34" t="n">
        <x:v>178</x:v>
      </x:c>
      <x:c r="B183" s="34" t="str">
        <x:v>P5.10.S001</x:v>
      </x:c>
      <x:c r="C183" s="34" t="str">
        <x:v>P5.10</x:v>
      </x:c>
      <x:c r="D183" s="34" t="str">
        <x:v>P5</x:v>
      </x:c>
      <x:c r="E183" s="34" t="str">
        <x:v>G5</x:v>
      </x:c>
      <x:c r="F183" s="34" t="str">
        <x:v>WS-C, WS-E</x:v>
      </x:c>
      <x:c r="G183" s="34" t="str">
        <x:v>documentation</x:v>
      </x:c>
      <x:c r="H183" s="34" t="str">
        <x:v>Wire P5.5–P5.8 into the Calibration state (P4.10). The session cannot advance to Practice until zero and verification are recorded (operator override with a logged reason is allowed).</x:v>
      </x:c>
      <x:c r="I183" s="34" t="str">
        <x:v>P4.10, P5.5, P5.6, P5.7, P5.8</x:v>
      </x:c>
      <x:c r="J183" s="34" t="str"/>
      <x:c r="K183" s="34" t="str">
        <x:v>Acceptance criteria and required evidence are satisfied and recorded.</x:v>
      </x:c>
      <x:c r="L183" s="34" t="str">
        <x:v>Acceptance criteria and required evidence are satisfied and recorded.</x:v>
      </x:c>
      <x:c r="M183" s="34" t="str">
        <x:v>Code, documentation, test evidence, or lab evidence named in the task</x:v>
      </x:c>
      <x:c r="N183" s="34" t="str">
        <x:v>not_started</x:v>
      </x:c>
      <x:c r="O183" s="34" t="str">
        <x:v>Developer</x:v>
      </x:c>
      <x:c r="P183" s="34" t="str">
        <x:v>lab_hardware</x:v>
      </x:c>
      <x:c r="Q183" s="34" t="str">
        <x:v>p5/P5.10-calibration-state-in-the-session-flow</x:v>
      </x:c>
      <x:c r="R183" s="36" t="str"/>
      <x:c r="S183" s="36" t="str"/>
      <x:c r="T183" s="34" t="str"/>
      <x:c r="U183" s="34" t="str"/>
      <x:c r="V183" s="34" t="str">
        <x:v>ELTS Build Plan P5.10</x:v>
      </x:c>
    </x:row>
    <x:row r="184">
      <x:c r="A184" s="10" t="n">
        <x:v>179</x:v>
      </x:c>
      <x:c r="B184" s="10" t="str">
        <x:v>P5.10.V001</x:v>
      </x:c>
      <x:c r="C184" s="10" t="str">
        <x:v>P5.10</x:v>
      </x:c>
      <x:c r="D184" s="10" t="str">
        <x:v>P5</x:v>
      </x:c>
      <x:c r="E184" s="10" t="str">
        <x:v>G5</x:v>
      </x:c>
      <x:c r="F184" s="10" t="str">
        <x:v>WS-C, WS-E</x:v>
      </x:c>
      <x:c r="G184" s="10" t="str">
        <x:v>verification</x:v>
      </x:c>
      <x:c r="H184" s="10" t="str">
        <x:v>Verify P5.10 against its completion criteria and attach evidence.</x:v>
      </x:c>
      <x:c r="I184" s="10" t="str">
        <x:v>P5.10.S001</x:v>
      </x:c>
      <x:c r="J184" s="10" t="str"/>
      <x:c r="K184" s="10" t="str">
        <x:v>Acceptance criteria and required evidence are satisfied and recorded.</x:v>
      </x:c>
      <x:c r="L184" s="10" t="str">
        <x:v>Acceptance criteria and required evidence are satisfied and recorded.</x:v>
      </x:c>
      <x:c r="M184" s="10" t="str">
        <x:v>Code, documentation, test evidence, or lab evidence named in the task</x:v>
      </x:c>
      <x:c r="N184" s="10" t="str">
        <x:v>not_started</x:v>
      </x:c>
      <x:c r="O184" s="10" t="str">
        <x:v>Developer</x:v>
      </x:c>
      <x:c r="P184" s="10" t="str">
        <x:v>lab_hardware</x:v>
      </x:c>
      <x:c r="Q184" s="10" t="str">
        <x:v>p5/P5.10-calibration-state-in-the-session-flow</x:v>
      </x:c>
      <x:c r="R184" s="35" t="str"/>
      <x:c r="S184" s="35" t="str"/>
      <x:c r="T184" s="10" t="str"/>
      <x:c r="U184" s="10" t="str"/>
      <x:c r="V184" s="10" t="str">
        <x:v>ELTS Build Plan P5.10</x:v>
      </x:c>
    </x:row>
    <x:row r="185">
      <x:c r="A185" s="34" t="n">
        <x:v>180</x:v>
      </x:c>
      <x:c r="B185" s="34" t="str">
        <x:v>P6.1.S001</x:v>
      </x:c>
      <x:c r="C185" s="34" t="str">
        <x:v>P6.1</x:v>
      </x:c>
      <x:c r="D185" s="34" t="str">
        <x:v>P6</x:v>
      </x:c>
      <x:c r="E185" s="34" t="str">
        <x:v>G6</x:v>
      </x:c>
      <x:c r="F185" s="34" t="str">
        <x:v>WS-C, WS-D</x:v>
      </x:c>
      <x:c r="G185" s="34" t="str">
        <x:v>execution</x:v>
      </x:c>
      <x:c r="H185" s="34" t="str">
        <x:v>Interface: Connect(), Arm() (optional, see §14), Start(blockContext), Stop(), Ping(), Status, connection events. Newline-delimited JSON messages per §14.2 — identical regardless of transport.</x:v>
      </x:c>
      <x:c r="I185" s="34" t="str">
        <x:v>G4, D-03, D-10</x:v>
      </x:c>
      <x:c r="J185" s="34" t="str"/>
      <x:c r="K185" s="34" t="str">
        <x:v>Acceptance criteria and required evidence are satisfied and recorded.</x:v>
      </x:c>
      <x:c r="L185" s="34" t="str">
        <x:v>Acceptance criteria and required evidence are satisfied and recorded.</x:v>
      </x:c>
      <x:c r="M185" s="34" t="str">
        <x:v>protocol schema and codec</x:v>
      </x:c>
      <x:c r="N185" s="34" t="str">
        <x:v>not_started</x:v>
      </x:c>
      <x:c r="O185" s="34" t="str">
        <x:v>Developer</x:v>
      </x:c>
      <x:c r="P185" s="34" t="str">
        <x:v>agent</x:v>
      </x:c>
      <x:c r="Q185" s="34" t="str">
        <x:v>p6/P6.1-ieltslink-interface-and-protocol-codec</x:v>
      </x:c>
      <x:c r="R185" s="36" t="str"/>
      <x:c r="S185" s="36" t="str"/>
      <x:c r="T185" s="34" t="str"/>
      <x:c r="U185" s="34" t="str"/>
      <x:c r="V185" s="34" t="str">
        <x:v>ELTS Build Plan P6.1</x:v>
      </x:c>
    </x:row>
    <x:row r="186">
      <x:c r="A186" s="10" t="n">
        <x:v>181</x:v>
      </x:c>
      <x:c r="B186" s="10" t="str">
        <x:v>P6.1.V001</x:v>
      </x:c>
      <x:c r="C186" s="10" t="str">
        <x:v>P6.1</x:v>
      </x:c>
      <x:c r="D186" s="10" t="str">
        <x:v>P6</x:v>
      </x:c>
      <x:c r="E186" s="10" t="str">
        <x:v>G6</x:v>
      </x:c>
      <x:c r="F186" s="10" t="str">
        <x:v>WS-C, WS-D</x:v>
      </x:c>
      <x:c r="G186" s="10" t="str">
        <x:v>verification</x:v>
      </x:c>
      <x:c r="H186" s="10" t="str">
        <x:v>Verify P6.1 against its completion criteria and attach evidence.</x:v>
      </x:c>
      <x:c r="I186" s="10" t="str">
        <x:v>P6.1.S001</x:v>
      </x:c>
      <x:c r="J186" s="10" t="str"/>
      <x:c r="K186" s="10" t="str">
        <x:v>Acceptance criteria and required evidence are satisfied and recorded.</x:v>
      </x:c>
      <x:c r="L186" s="10" t="str">
        <x:v>Acceptance criteria and required evidence are satisfied and recorded.</x:v>
      </x:c>
      <x:c r="M186" s="10" t="str">
        <x:v>protocol schema and codec</x:v>
      </x:c>
      <x:c r="N186" s="10" t="str">
        <x:v>not_started</x:v>
      </x:c>
      <x:c r="O186" s="10" t="str">
        <x:v>Developer</x:v>
      </x:c>
      <x:c r="P186" s="10" t="str">
        <x:v>automated_check</x:v>
      </x:c>
      <x:c r="Q186" s="10" t="str">
        <x:v>p6/P6.1-ieltslink-interface-and-protocol-codec</x:v>
      </x:c>
      <x:c r="R186" s="35" t="str"/>
      <x:c r="S186" s="35" t="str"/>
      <x:c r="T186" s="10" t="str"/>
      <x:c r="U186" s="10" t="str"/>
      <x:c r="V186" s="10" t="str">
        <x:v>ELTS Build Plan P6.1</x:v>
      </x:c>
    </x:row>
    <x:row r="187">
      <x:c r="A187" s="34" t="n">
        <x:v>182</x:v>
      </x:c>
      <x:c r="B187" s="34" t="str">
        <x:v>P6.2.S001</x:v>
      </x:c>
      <x:c r="C187" s="34" t="str">
        <x:v>P6.2</x:v>
      </x:c>
      <x:c r="D187" s="34" t="str">
        <x:v>P6</x:v>
      </x:c>
      <x:c r="E187" s="34" t="str">
        <x:v>G6</x:v>
      </x:c>
      <x:c r="F187" s="34" t="str">
        <x:v>WS-C, WS-D</x:v>
      </x:c>
      <x:c r="G187" s="34" t="str">
        <x:v>execution</x:v>
      </x:c>
      <x:c r="H187" s="34" t="str">
        <x:v>One class per transport (SerialEltsLink, UdpEltsLink, MqttEltsLink, …); only the chosen one needs to be built, but the interface must allow another to be dropped in.</x:v>
      </x:c>
      <x:c r="I187" s="34" t="str">
        <x:v>P6.1, D-03</x:v>
      </x:c>
      <x:c r="J187" s="34" t="str">
        <x:v>D-03</x:v>
      </x:c>
      <x:c r="K187" s="34" t="str">
        <x:v>Acceptance criteria and required evidence are satisfied and recorded.</x:v>
      </x:c>
      <x:c r="L187" s="34" t="str">
        <x:v>Acceptance criteria and required evidence are satisfied and recorded.</x:v>
      </x:c>
      <x:c r="M187" s="34" t="str">
        <x:v>transport adapters</x:v>
      </x:c>
      <x:c r="N187" s="34" t="str">
        <x:v>not_started</x:v>
      </x:c>
      <x:c r="O187" s="34" t="str">
        <x:v>Developer</x:v>
      </x:c>
      <x:c r="P187" s="34" t="str">
        <x:v>agent</x:v>
      </x:c>
      <x:c r="Q187" s="34" t="str">
        <x:v>p6/P6.2-transport-implementation-for-the-d-03-choice</x:v>
      </x:c>
      <x:c r="R187" s="36" t="str"/>
      <x:c r="S187" s="36" t="str"/>
      <x:c r="T187" s="34" t="str"/>
      <x:c r="U187" s="34" t="str"/>
      <x:c r="V187" s="34" t="str">
        <x:v>ELTS Build Plan P6.2</x:v>
      </x:c>
    </x:row>
    <x:row r="188">
      <x:c r="A188" s="10" t="n">
        <x:v>183</x:v>
      </x:c>
      <x:c r="B188" s="10" t="str">
        <x:v>P6.2.V001</x:v>
      </x:c>
      <x:c r="C188" s="10" t="str">
        <x:v>P6.2</x:v>
      </x:c>
      <x:c r="D188" s="10" t="str">
        <x:v>P6</x:v>
      </x:c>
      <x:c r="E188" s="10" t="str">
        <x:v>G6</x:v>
      </x:c>
      <x:c r="F188" s="10" t="str">
        <x:v>WS-C, WS-D</x:v>
      </x:c>
      <x:c r="G188" s="10" t="str">
        <x:v>verification</x:v>
      </x:c>
      <x:c r="H188" s="10" t="str">
        <x:v>Verify P6.2 against its completion criteria and attach evidence.</x:v>
      </x:c>
      <x:c r="I188" s="10" t="str">
        <x:v>P6.2.S001</x:v>
      </x:c>
      <x:c r="J188" s="10" t="str">
        <x:v>D-03</x:v>
      </x:c>
      <x:c r="K188" s="10" t="str">
        <x:v>Acceptance criteria and required evidence are satisfied and recorded.</x:v>
      </x:c>
      <x:c r="L188" s="10" t="str">
        <x:v>Acceptance criteria and required evidence are satisfied and recorded.</x:v>
      </x:c>
      <x:c r="M188" s="10" t="str">
        <x:v>transport adapters</x:v>
      </x:c>
      <x:c r="N188" s="10" t="str">
        <x:v>not_started</x:v>
      </x:c>
      <x:c r="O188" s="10" t="str">
        <x:v>Developer</x:v>
      </x:c>
      <x:c r="P188" s="10" t="str">
        <x:v>automated_check</x:v>
      </x:c>
      <x:c r="Q188" s="10" t="str">
        <x:v>p6/P6.2-transport-implementation-for-the-d-03-choice</x:v>
      </x:c>
      <x:c r="R188" s="35" t="str"/>
      <x:c r="S188" s="35" t="str"/>
      <x:c r="T188" s="10" t="str"/>
      <x:c r="U188" s="10" t="str"/>
      <x:c r="V188" s="10" t="str">
        <x:v>ELTS Build Plan P6.2</x:v>
      </x:c>
    </x:row>
    <x:row r="189">
      <x:c r="A189" s="34" t="n">
        <x:v>184</x:v>
      </x:c>
      <x:c r="B189" s="34" t="str">
        <x:v>P6.3.S001</x:v>
      </x:c>
      <x:c r="C189" s="34" t="str">
        <x:v>P6.3</x:v>
      </x:c>
      <x:c r="D189" s="34" t="str">
        <x:v>P6</x:v>
      </x:c>
      <x:c r="E189" s="34" t="str">
        <x:v>G6</x:v>
      </x:c>
      <x:c r="F189" s="34" t="str">
        <x:v>WS-C, WS-D</x:v>
      </x:c>
      <x:c r="G189" s="34" t="str">
        <x:v>execution</x:v>
      </x:c>
      <x:c r="H189" s="34" t="str">
        <x:v>On every command: log t_unity_sent; on ack: log t_unity_ack and the Jetson's t_jetson; estimate offset as ((t_unity_sent + t_unity_ack)/2) − t_jetson and log it as an EltsClockOffset event. All three raw values are kept (Appendix B.3).</x:v>
      </x:c>
      <x:c r="I189" s="34" t="str">
        <x:v>P2.2, P6.1, P6.2</x:v>
      </x:c>
      <x:c r="J189" s="34" t="str"/>
      <x:c r="K189" s="34" t="str">
        <x:v>Acceptance criteria and required evidence are satisfied and recorded.</x:v>
      </x:c>
      <x:c r="L189" s="34" t="str">
        <x:v>Acceptance criteria and required evidence are satisfied and recorded.</x:v>
      </x:c>
      <x:c r="M189" s="34" t="str">
        <x:v>Code, documentation, test evidence, or lab evidence named in the task</x:v>
      </x:c>
      <x:c r="N189" s="34" t="str">
        <x:v>not_started</x:v>
      </x:c>
      <x:c r="O189" s="34" t="str">
        <x:v>Developer</x:v>
      </x:c>
      <x:c r="P189" s="34" t="str">
        <x:v>agent</x:v>
      </x:c>
      <x:c r="Q189" s="34" t="str">
        <x:v>p6/P6.3-timestamping-and-alignment</x:v>
      </x:c>
      <x:c r="R189" s="36" t="str"/>
      <x:c r="S189" s="36" t="str"/>
      <x:c r="T189" s="34" t="str"/>
      <x:c r="U189" s="34" t="str"/>
      <x:c r="V189" s="34" t="str">
        <x:v>ELTS Build Plan P6.3</x:v>
      </x:c>
    </x:row>
    <x:row r="190">
      <x:c r="A190" s="10" t="n">
        <x:v>185</x:v>
      </x:c>
      <x:c r="B190" s="10" t="str">
        <x:v>P6.3.V001</x:v>
      </x:c>
      <x:c r="C190" s="10" t="str">
        <x:v>P6.3</x:v>
      </x:c>
      <x:c r="D190" s="10" t="str">
        <x:v>P6</x:v>
      </x:c>
      <x:c r="E190" s="10" t="str">
        <x:v>G6</x:v>
      </x:c>
      <x:c r="F190" s="10" t="str">
        <x:v>WS-C, WS-D</x:v>
      </x:c>
      <x:c r="G190" s="10" t="str">
        <x:v>verification</x:v>
      </x:c>
      <x:c r="H190" s="10" t="str">
        <x:v>Verify P6.3 against its completion criteria and attach evidence.</x:v>
      </x:c>
      <x:c r="I190" s="10" t="str">
        <x:v>P6.3.S001</x:v>
      </x:c>
      <x:c r="J190" s="10" t="str"/>
      <x:c r="K190" s="10" t="str">
        <x:v>Acceptance criteria and required evidence are satisfied and recorded.</x:v>
      </x:c>
      <x:c r="L190" s="10" t="str">
        <x:v>Acceptance criteria and required evidence are satisfied and recorded.</x:v>
      </x:c>
      <x:c r="M190" s="10" t="str">
        <x:v>Code, documentation, test evidence, or lab evidence named in the task</x:v>
      </x:c>
      <x:c r="N190" s="10" t="str">
        <x:v>not_started</x:v>
      </x:c>
      <x:c r="O190" s="10" t="str">
        <x:v>Developer</x:v>
      </x:c>
      <x:c r="P190" s="10" t="str">
        <x:v>automated_check</x:v>
      </x:c>
      <x:c r="Q190" s="10" t="str">
        <x:v>p6/P6.3-timestamping-and-alignment</x:v>
      </x:c>
      <x:c r="R190" s="35" t="str"/>
      <x:c r="S190" s="35" t="str"/>
      <x:c r="T190" s="10" t="str"/>
      <x:c r="U190" s="10" t="str"/>
      <x:c r="V190" s="10" t="str">
        <x:v>ELTS Build Plan P6.3</x:v>
      </x:c>
    </x:row>
    <x:row r="191">
      <x:c r="A191" s="34" t="n">
        <x:v>186</x:v>
      </x:c>
      <x:c r="B191" s="34" t="str">
        <x:v>P6.4.S001</x:v>
      </x:c>
      <x:c r="C191" s="34" t="str">
        <x:v>P6.4</x:v>
      </x:c>
      <x:c r="D191" s="34" t="str">
        <x:v>P6</x:v>
      </x:c>
      <x:c r="E191" s="34" t="str">
        <x:v>G6</x:v>
      </x:c>
      <x:c r="F191" s="34" t="str">
        <x:v>WS-C, WS-D</x:v>
      </x:c>
      <x:c r="G191" s="34" t="str">
        <x:v>decision</x:v>
      </x:c>
      <x:c r="H191" s="34" t="str">
        <x:v>Ping every 1 s while a WE block is running; link status on the operator panel; a missed ack raises a visible warning, three missed acks post EltsLinkLost (block continues; the operator decides).</x:v>
      </x:c>
      <x:c r="I191" s="34" t="str">
        <x:v>P6.1, P6.2</x:v>
      </x:c>
      <x:c r="J191" s="34" t="str"/>
      <x:c r="K191" s="34" t="str">
        <x:v>Acceptance criteria and required evidence are satisfied and recorded.</x:v>
      </x:c>
      <x:c r="L191" s="34" t="str">
        <x:v>Acceptance criteria and required evidence are satisfied and recorded.</x:v>
      </x:c>
      <x:c r="M191" s="34" t="str">
        <x:v>Code, documentation, test evidence, or lab evidence named in the task</x:v>
      </x:c>
      <x:c r="N191" s="34" t="str">
        <x:v>not_started</x:v>
      </x:c>
      <x:c r="O191" s="34" t="str">
        <x:v>Developer</x:v>
      </x:c>
      <x:c r="P191" s="34" t="str">
        <x:v>agent</x:v>
      </x:c>
      <x:c r="Q191" s="34" t="str">
        <x:v>p6/P6.4-heartbeat</x:v>
      </x:c>
      <x:c r="R191" s="36" t="str"/>
      <x:c r="S191" s="36" t="str"/>
      <x:c r="T191" s="34" t="str"/>
      <x:c r="U191" s="34" t="str"/>
      <x:c r="V191" s="34" t="str">
        <x:v>ELTS Build Plan P6.4</x:v>
      </x:c>
    </x:row>
    <x:row r="192">
      <x:c r="A192" s="10" t="n">
        <x:v>187</x:v>
      </x:c>
      <x:c r="B192" s="10" t="str">
        <x:v>P6.4.V001</x:v>
      </x:c>
      <x:c r="C192" s="10" t="str">
        <x:v>P6.4</x:v>
      </x:c>
      <x:c r="D192" s="10" t="str">
        <x:v>P6</x:v>
      </x:c>
      <x:c r="E192" s="10" t="str">
        <x:v>G6</x:v>
      </x:c>
      <x:c r="F192" s="10" t="str">
        <x:v>WS-C, WS-D</x:v>
      </x:c>
      <x:c r="G192" s="10" t="str">
        <x:v>verification</x:v>
      </x:c>
      <x:c r="H192" s="10" t="str">
        <x:v>Verify P6.4 against its completion criteria and attach evidence.</x:v>
      </x:c>
      <x:c r="I192" s="10" t="str">
        <x:v>P6.4.S001</x:v>
      </x:c>
      <x:c r="J192" s="10" t="str"/>
      <x:c r="K192" s="10" t="str">
        <x:v>Acceptance criteria and required evidence are satisfied and recorded.</x:v>
      </x:c>
      <x:c r="L192" s="10" t="str">
        <x:v>Acceptance criteria and required evidence are satisfied and recorded.</x:v>
      </x:c>
      <x:c r="M192" s="10" t="str">
        <x:v>Code, documentation, test evidence, or lab evidence named in the task</x:v>
      </x:c>
      <x:c r="N192" s="10" t="str">
        <x:v>not_started</x:v>
      </x:c>
      <x:c r="O192" s="10" t="str">
        <x:v>Developer</x:v>
      </x:c>
      <x:c r="P192" s="10" t="str">
        <x:v>automated_check</x:v>
      </x:c>
      <x:c r="Q192" s="10" t="str">
        <x:v>p6/P6.4-heartbeat</x:v>
      </x:c>
      <x:c r="R192" s="35" t="str"/>
      <x:c r="S192" s="35" t="str"/>
      <x:c r="T192" s="10" t="str"/>
      <x:c r="U192" s="10" t="str"/>
      <x:c r="V192" s="10" t="str">
        <x:v>ELTS Build Plan P6.4</x:v>
      </x:c>
    </x:row>
    <x:row r="193">
      <x:c r="A193" s="34" t="n">
        <x:v>188</x:v>
      </x:c>
      <x:c r="B193" s="34" t="str">
        <x:v>P6.5.S001</x:v>
      </x:c>
      <x:c r="C193" s="34" t="str">
        <x:v>P6.5</x:v>
      </x:c>
      <x:c r="D193" s="34" t="str">
        <x:v>P6</x:v>
      </x:c>
      <x:c r="E193" s="34" t="str">
        <x:v>G6</x:v>
      </x:c>
      <x:c r="F193" s="34" t="str">
        <x:v>WS-C, WS-D</x:v>
      </x:c>
      <x:c r="G193" s="34" t="str">
        <x:v>verification</x:v>
      </x:c>
      <x:c r="H193" s="34" t="str">
        <x:v>BlockRunning entry sends Start when eltsEnabled, exit sends Stop, Abort sends Stop. In NE blocks nothing is sent (or Arm/nothing per D-10). Self-check (P4.12) requires a successful HELLO handshake when the session contains a WE block.</x:v>
      </x:c>
      <x:c r="I193" s="34" t="str">
        <x:v>P4.10, P6.1:P6.4, D-10</x:v>
      </x:c>
      <x:c r="J193" s="34" t="str">
        <x:v>D-10</x:v>
      </x:c>
      <x:c r="K193" s="34" t="str">
        <x:v>Acceptance criteria and required evidence are satisfied and recorded.</x:v>
      </x:c>
      <x:c r="L193" s="34" t="str">
        <x:v>Acceptance criteria and required evidence are satisfied and recorded.</x:v>
      </x:c>
      <x:c r="M193" s="34" t="str">
        <x:v>Code, documentation, test evidence, or lab evidence named in the task</x:v>
      </x:c>
      <x:c r="N193" s="34" t="str">
        <x:v>not_started</x:v>
      </x:c>
      <x:c r="O193" s="34" t="str">
        <x:v>Developer</x:v>
      </x:c>
      <x:c r="P193" s="34" t="str">
        <x:v>agent</x:v>
      </x:c>
      <x:c r="Q193" s="34" t="str">
        <x:v>p6/P6.5-session-wiring</x:v>
      </x:c>
      <x:c r="R193" s="36" t="str"/>
      <x:c r="S193" s="36" t="str"/>
      <x:c r="T193" s="34" t="str"/>
      <x:c r="U193" s="34" t="str"/>
      <x:c r="V193" s="34" t="str">
        <x:v>ELTS Build Plan P6.5</x:v>
      </x:c>
    </x:row>
    <x:row r="194">
      <x:c r="A194" s="10" t="n">
        <x:v>189</x:v>
      </x:c>
      <x:c r="B194" s="10" t="str">
        <x:v>P6.5.V001</x:v>
      </x:c>
      <x:c r="C194" s="10" t="str">
        <x:v>P6.5</x:v>
      </x:c>
      <x:c r="D194" s="10" t="str">
        <x:v>P6</x:v>
      </x:c>
      <x:c r="E194" s="10" t="str">
        <x:v>G6</x:v>
      </x:c>
      <x:c r="F194" s="10" t="str">
        <x:v>WS-C, WS-D</x:v>
      </x:c>
      <x:c r="G194" s="10" t="str">
        <x:v>verification</x:v>
      </x:c>
      <x:c r="H194" s="10" t="str">
        <x:v>Verify P6.5 against its completion criteria and attach evidence.</x:v>
      </x:c>
      <x:c r="I194" s="10" t="str">
        <x:v>P6.5.S001</x:v>
      </x:c>
      <x:c r="J194" s="10" t="str">
        <x:v>D-10</x:v>
      </x:c>
      <x:c r="K194" s="10" t="str">
        <x:v>Acceptance criteria and required evidence are satisfied and recorded.</x:v>
      </x:c>
      <x:c r="L194" s="10" t="str">
        <x:v>Acceptance criteria and required evidence are satisfied and recorded.</x:v>
      </x:c>
      <x:c r="M194" s="10" t="str">
        <x:v>Code, documentation, test evidence, or lab evidence named in the task</x:v>
      </x:c>
      <x:c r="N194" s="10" t="str">
        <x:v>not_started</x:v>
      </x:c>
      <x:c r="O194" s="10" t="str">
        <x:v>Developer</x:v>
      </x:c>
      <x:c r="P194" s="10" t="str">
        <x:v>automated_check</x:v>
      </x:c>
      <x:c r="Q194" s="10" t="str">
        <x:v>p6/P6.5-session-wiring</x:v>
      </x:c>
      <x:c r="R194" s="35" t="str"/>
      <x:c r="S194" s="35" t="str"/>
      <x:c r="T194" s="10" t="str"/>
      <x:c r="U194" s="10" t="str"/>
      <x:c r="V194" s="10" t="str">
        <x:v>ELTS Build Plan P6.5</x:v>
      </x:c>
    </x:row>
    <x:row r="195">
      <x:c r="A195" s="34" t="n">
        <x:v>190</x:v>
      </x:c>
      <x:c r="B195" s="34" t="str">
        <x:v>P6.6.S001</x:v>
      </x:c>
      <x:c r="C195" s="34" t="str">
        <x:v>P6.6</x:v>
      </x:c>
      <x:c r="D195" s="34" t="str">
        <x:v>P6</x:v>
      </x:c>
      <x:c r="E195" s="34" t="str">
        <x:v>G6</x:v>
      </x:c>
      <x:c r="F195" s="34" t="str">
        <x:v>WS-C, WS-D</x:v>
      </x:c>
      <x:c r="G195" s="34" t="str">
        <x:v>implementation</x:v>
      </x:c>
      <x:c r="H195" s="34" t="str">
        <x:v>A fake that acks locally, for development and for NE-only sessions.</x:v>
      </x:c>
      <x:c r="I195" s="34" t="str">
        <x:v>P6.1</x:v>
      </x:c>
      <x:c r="J195" s="34" t="str"/>
      <x:c r="K195" s="34" t="str">
        <x:v>Change or evidence attributable to P6.6.S001</x:v>
      </x:c>
      <x:c r="L195" s="34" t="str">
        <x:v>Review the changed artifact and run the nearest relevant automated or lab check.</x:v>
      </x:c>
      <x:c r="M195" s="34" t="str">
        <x:v>Code, documentation, test evidence, or lab evidence named in the task</x:v>
      </x:c>
      <x:c r="N195" s="34" t="str">
        <x:v>not_started</x:v>
      </x:c>
      <x:c r="O195" s="34" t="str">
        <x:v>Developer</x:v>
      </x:c>
      <x:c r="P195" s="34" t="str">
        <x:v>agent</x:v>
      </x:c>
      <x:c r="Q195" s="34" t="str">
        <x:v>p6/P6.6-nulleltslink</x:v>
      </x:c>
      <x:c r="R195" s="36" t="str"/>
      <x:c r="S195" s="36" t="str"/>
      <x:c r="T195" s="34" t="str"/>
      <x:c r="U195" s="34" t="str"/>
      <x:c r="V195" s="34" t="str">
        <x:v>ELTS Build Plan P6.6</x:v>
      </x:c>
    </x:row>
    <x:row r="196">
      <x:c r="A196" s="10" t="n">
        <x:v>191</x:v>
      </x:c>
      <x:c r="B196" s="10" t="str">
        <x:v>P6.6.S002</x:v>
      </x:c>
      <x:c r="C196" s="10" t="str">
        <x:v>P6.6</x:v>
      </x:c>
      <x:c r="D196" s="10" t="str">
        <x:v>P6</x:v>
      </x:c>
      <x:c r="E196" s="10" t="str">
        <x:v>G6</x:v>
      </x:c>
      <x:c r="F196" s="10" t="str">
        <x:v>WS-C, WS-D</x:v>
      </x:c>
      <x:c r="G196" s="10" t="str">
        <x:v>execution</x:v>
      </x:c>
      <x:c r="H196" s="10" t="str">
        <x:v>### Tasks — Jetson side (ELTS code owner)</x:v>
      </x:c>
      <x:c r="I196" s="10" t="str">
        <x:v>P6.6.S001</x:v>
      </x:c>
      <x:c r="J196" s="10" t="str"/>
      <x:c r="K196" s="10" t="str">
        <x:v>Acceptance criteria and required evidence are satisfied and recorded.</x:v>
      </x:c>
      <x:c r="L196" s="10" t="str">
        <x:v>Acceptance criteria and required evidence are satisfied and recorded.</x:v>
      </x:c>
      <x:c r="M196" s="10" t="str">
        <x:v>Code, documentation, test evidence, or lab evidence named in the task</x:v>
      </x:c>
      <x:c r="N196" s="10" t="str">
        <x:v>not_started</x:v>
      </x:c>
      <x:c r="O196" s="10" t="str">
        <x:v>Developer</x:v>
      </x:c>
      <x:c r="P196" s="10" t="str">
        <x:v>agent</x:v>
      </x:c>
      <x:c r="Q196" s="10" t="str">
        <x:v>p6/P6.6-nulleltslink</x:v>
      </x:c>
      <x:c r="R196" s="35" t="str"/>
      <x:c r="S196" s="35" t="str"/>
      <x:c r="T196" s="10" t="str"/>
      <x:c r="U196" s="10" t="str"/>
      <x:c r="V196" s="10" t="str">
        <x:v>ELTS Build Plan P6.6</x:v>
      </x:c>
    </x:row>
    <x:row r="197">
      <x:c r="A197" s="34" t="n">
        <x:v>192</x:v>
      </x:c>
      <x:c r="B197" s="34" t="str">
        <x:v>P6.6.V001</x:v>
      </x:c>
      <x:c r="C197" s="34" t="str">
        <x:v>P6.6</x:v>
      </x:c>
      <x:c r="D197" s="34" t="str">
        <x:v>P6</x:v>
      </x:c>
      <x:c r="E197" s="34" t="str">
        <x:v>G6</x:v>
      </x:c>
      <x:c r="F197" s="34" t="str">
        <x:v>WS-C, WS-D</x:v>
      </x:c>
      <x:c r="G197" s="34" t="str">
        <x:v>verification</x:v>
      </x:c>
      <x:c r="H197" s="34" t="str">
        <x:v>Verify P6.6 against its completion criteria and attach evidence.</x:v>
      </x:c>
      <x:c r="I197" s="34" t="str">
        <x:v>P6.6.S002</x:v>
      </x:c>
      <x:c r="J197" s="34" t="str"/>
      <x:c r="K197" s="34" t="str">
        <x:v>Acceptance criteria and required evidence are satisfied and recorded.</x:v>
      </x:c>
      <x:c r="L197" s="34" t="str">
        <x:v>Acceptance criteria and required evidence are satisfied and recorded.</x:v>
      </x:c>
      <x:c r="M197" s="34" t="str">
        <x:v>Code, documentation, test evidence, or lab evidence named in the task</x:v>
      </x:c>
      <x:c r="N197" s="34" t="str">
        <x:v>not_started</x:v>
      </x:c>
      <x:c r="O197" s="34" t="str">
        <x:v>Developer</x:v>
      </x:c>
      <x:c r="P197" s="34" t="str">
        <x:v>automated_check</x:v>
      </x:c>
      <x:c r="Q197" s="34" t="str">
        <x:v>p6/P6.6-nulleltslink</x:v>
      </x:c>
      <x:c r="R197" s="36" t="str"/>
      <x:c r="S197" s="36" t="str"/>
      <x:c r="T197" s="34" t="str"/>
      <x:c r="U197" s="34" t="str"/>
      <x:c r="V197" s="34" t="str">
        <x:v>ELTS Build Plan P6.6</x:v>
      </x:c>
    </x:row>
    <x:row r="198">
      <x:c r="A198" s="10" t="n">
        <x:v>193</x:v>
      </x:c>
      <x:c r="B198" s="10" t="str">
        <x:v>P6.7.S001</x:v>
      </x:c>
      <x:c r="C198" s="10" t="str">
        <x:v>P6.7</x:v>
      </x:c>
      <x:c r="D198" s="10" t="str">
        <x:v>P6</x:v>
      </x:c>
      <x:c r="E198" s="10" t="str">
        <x:v>G6</x:v>
      </x:c>
      <x:c r="F198" s="10" t="str">
        <x:v>WS-D</x:v>
      </x:c>
      <x:c r="G198" s="10" t="str">
        <x:v>implementation</x:v>
      </x:c>
      <x:c r="H198" s="10" t="str">
        <x:v>Wrap the existing ELTS main loop in Idle → Armed (camera + tracking running, LEDs inhibited) → Active (LEDs permitted) → Idle, driven by the §14 protocol over the chosen transport. Active is entered only by START; left by STOP, by heartbeat timeout, by the max-on-time guard, or by the E-stop.</x:v>
      </x:c>
      <x:c r="I198" s="10" t="str">
        <x:v>P6.1, P6.2</x:v>
      </x:c>
      <x:c r="J198" s="10" t="str"/>
      <x:c r="K198" s="10" t="str">
        <x:v>Acceptance criteria and required evidence are satisfied and recorded.</x:v>
      </x:c>
      <x:c r="L198" s="10" t="str">
        <x:v>Acceptance criteria and required evidence are satisfied and recorded.</x:v>
      </x:c>
      <x:c r="M198" s="10" t="str">
        <x:v>Jetson service</x:v>
      </x:c>
      <x:c r="N198" s="10" t="str">
        <x:v>not_started</x:v>
      </x:c>
      <x:c r="O198" s="10" t="str">
        <x:v>ELTS code owner</x:v>
      </x:c>
      <x:c r="P198" s="10" t="str">
        <x:v>agent</x:v>
      </x:c>
      <x:c r="Q198" s="10" t="str">
        <x:v>p6/P6.7-listener-service-and-state-machine</x:v>
      </x:c>
      <x:c r="R198" s="35" t="str"/>
      <x:c r="S198" s="35" t="str"/>
      <x:c r="T198" s="10" t="str"/>
      <x:c r="U198" s="10" t="str"/>
      <x:c r="V198" s="10" t="str">
        <x:v>ELTS Build Plan P6.7</x:v>
      </x:c>
    </x:row>
    <x:row r="199">
      <x:c r="A199" s="34" t="n">
        <x:v>194</x:v>
      </x:c>
      <x:c r="B199" s="34" t="str">
        <x:v>P6.7.V001</x:v>
      </x:c>
      <x:c r="C199" s="34" t="str">
        <x:v>P6.7</x:v>
      </x:c>
      <x:c r="D199" s="34" t="str">
        <x:v>P6</x:v>
      </x:c>
      <x:c r="E199" s="34" t="str">
        <x:v>G6</x:v>
      </x:c>
      <x:c r="F199" s="34" t="str">
        <x:v>WS-D</x:v>
      </x:c>
      <x:c r="G199" s="34" t="str">
        <x:v>verification</x:v>
      </x:c>
      <x:c r="H199" s="34" t="str">
        <x:v>Verify P6.7 against its completion criteria and attach evidence.</x:v>
      </x:c>
      <x:c r="I199" s="34" t="str">
        <x:v>P6.7.S001</x:v>
      </x:c>
      <x:c r="J199" s="34" t="str"/>
      <x:c r="K199" s="34" t="str">
        <x:v>Acceptance criteria and required evidence are satisfied and recorded.</x:v>
      </x:c>
      <x:c r="L199" s="34" t="str">
        <x:v>Acceptance criteria and required evidence are satisfied and recorded.</x:v>
      </x:c>
      <x:c r="M199" s="34" t="str">
        <x:v>Jetson service</x:v>
      </x:c>
      <x:c r="N199" s="34" t="str">
        <x:v>not_started</x:v>
      </x:c>
      <x:c r="O199" s="34" t="str">
        <x:v>ELTS code owner</x:v>
      </x:c>
      <x:c r="P199" s="34" t="str">
        <x:v>automated_check</x:v>
      </x:c>
      <x:c r="Q199" s="34" t="str">
        <x:v>p6/P6.7-listener-service-and-state-machine</x:v>
      </x:c>
      <x:c r="R199" s="36" t="str"/>
      <x:c r="S199" s="36" t="str"/>
      <x:c r="T199" s="34" t="str"/>
      <x:c r="U199" s="34" t="str"/>
      <x:c r="V199" s="34" t="str">
        <x:v>ELTS Build Plan P6.7</x:v>
      </x:c>
    </x:row>
    <x:row r="200">
      <x:c r="A200" s="10" t="n">
        <x:v>195</x:v>
      </x:c>
      <x:c r="B200" s="10" t="str">
        <x:v>P6.8.S001</x:v>
      </x:c>
      <x:c r="C200" s="10" t="str">
        <x:v>P6.8</x:v>
      </x:c>
      <x:c r="D200" s="10" t="str">
        <x:v>P6</x:v>
      </x:c>
      <x:c r="E200" s="10" t="str">
        <x:v>G6</x:v>
      </x:c>
      <x:c r="F200" s="10" t="str">
        <x:v>WS-D</x:v>
      </x:c>
      <x:c r="G200" s="10" t="str">
        <x:v>execution</x:v>
      </x:c>
      <x:c r="H200" s="10" t="str">
        <x:v>Heartbeat timeout: if no PING for 3 s (config) in Active, inhibit LEDs and return to Armed; log it.</x:v>
      </x:c>
      <x:c r="I200" s="10" t="str">
        <x:v>P6.7, D-13</x:v>
      </x:c>
      <x:c r="J200" s="10" t="str">
        <x:v>D-13</x:v>
      </x:c>
      <x:c r="K200" s="10" t="str">
        <x:v>Change or evidence attributable to P6.8.S001</x:v>
      </x:c>
      <x:c r="L200" s="10" t="str">
        <x:v>Review the changed artifact and run the nearest relevant automated or lab check.</x:v>
      </x:c>
      <x:c r="M200" s="10" t="str">
        <x:v>fail-safe evidence</x:v>
      </x:c>
      <x:c r="N200" s="10" t="str">
        <x:v>not_started</x:v>
      </x:c>
      <x:c r="O200" s="10" t="str">
        <x:v>ELTS code owner</x:v>
      </x:c>
      <x:c r="P200" s="10" t="str">
        <x:v>mixed</x:v>
      </x:c>
      <x:c r="Q200" s="10" t="str">
        <x:v>p6/P6.8-fail-safes</x:v>
      </x:c>
      <x:c r="R200" s="35" t="str"/>
      <x:c r="S200" s="35" t="str"/>
      <x:c r="T200" s="10" t="str"/>
      <x:c r="U200" s="10" t="str"/>
      <x:c r="V200" s="10" t="str">
        <x:v>ELTS Build Plan P6.8</x:v>
      </x:c>
    </x:row>
    <x:row r="201">
      <x:c r="A201" s="34" t="n">
        <x:v>196</x:v>
      </x:c>
      <x:c r="B201" s="34" t="str">
        <x:v>P6.8.S002</x:v>
      </x:c>
      <x:c r="C201" s="34" t="str">
        <x:v>P6.8</x:v>
      </x:c>
      <x:c r="D201" s="34" t="str">
        <x:v>P6</x:v>
      </x:c>
      <x:c r="E201" s="34" t="str">
        <x:v>G6</x:v>
      </x:c>
      <x:c r="F201" s="34" t="str">
        <x:v>WS-D</x:v>
      </x:c>
      <x:c r="G201" s="34" t="str">
        <x:v>execution</x:v>
      </x:c>
      <x:c r="H201" s="34" t="str">
        <x:v>Max on-time guard: LEDs are hard-limited to block duration + 30 s per START (the duration_s field of the START message) (config; must be consistent with the exposure limits in the safety sheet, D-13).</x:v>
      </x:c>
      <x:c r="I201" s="34" t="str">
        <x:v>P6.8.S001</x:v>
      </x:c>
      <x:c r="J201" s="34" t="str">
        <x:v>D-13</x:v>
      </x:c>
      <x:c r="K201" s="34" t="str">
        <x:v>Change or evidence attributable to P6.8.S002</x:v>
      </x:c>
      <x:c r="L201" s="34" t="str">
        <x:v>Review the changed artifact and run the nearest relevant automated or lab check.</x:v>
      </x:c>
      <x:c r="M201" s="34" t="str">
        <x:v>fail-safe evidence</x:v>
      </x:c>
      <x:c r="N201" s="34" t="str">
        <x:v>not_started</x:v>
      </x:c>
      <x:c r="O201" s="34" t="str">
        <x:v>ELTS code owner</x:v>
      </x:c>
      <x:c r="P201" s="34" t="str">
        <x:v>mixed</x:v>
      </x:c>
      <x:c r="Q201" s="34" t="str">
        <x:v>p6/P6.8-fail-safes</x:v>
      </x:c>
      <x:c r="R201" s="36" t="str"/>
      <x:c r="S201" s="36" t="str"/>
      <x:c r="T201" s="34" t="str"/>
      <x:c r="U201" s="34" t="str"/>
      <x:c r="V201" s="34" t="str">
        <x:v>ELTS Build Plan P6.8</x:v>
      </x:c>
    </x:row>
    <x:row r="202">
      <x:c r="A202" s="10" t="n">
        <x:v>197</x:v>
      </x:c>
      <x:c r="B202" s="10" t="str">
        <x:v>P6.8.S003</x:v>
      </x:c>
      <x:c r="C202" s="10" t="str">
        <x:v>P6.8</x:v>
      </x:c>
      <x:c r="D202" s="10" t="str">
        <x:v>P6</x:v>
      </x:c>
      <x:c r="E202" s="10" t="str">
        <x:v>G6</x:v>
      </x:c>
      <x:c r="F202" s="10" t="str">
        <x:v>WS-D</x:v>
      </x:c>
      <x:c r="G202" s="10" t="str">
        <x:v>execution</x:v>
      </x:c>
      <x:c r="H202" s="10" t="str">
        <x:v>Physical E-stop: a normally-closed switch in the LED supply path (or at the transistor gate) that the operator can hit regardless of software state. Existing hardware is modified only at this one point, and the ELTS otherwise remains as evaluated.</x:v>
      </x:c>
      <x:c r="I202" s="10" t="str">
        <x:v>P6.8.S002</x:v>
      </x:c>
      <x:c r="J202" s="10" t="str">
        <x:v>D-13</x:v>
      </x:c>
      <x:c r="K202" s="10" t="str">
        <x:v>Acceptance criteria and required evidence are satisfied and recorded.</x:v>
      </x:c>
      <x:c r="L202" s="10" t="str">
        <x:v>Acceptance criteria and required evidence are satisfied and recorded.</x:v>
      </x:c>
      <x:c r="M202" s="10" t="str">
        <x:v>fail-safe evidence</x:v>
      </x:c>
      <x:c r="N202" s="10" t="str">
        <x:v>not_started</x:v>
      </x:c>
      <x:c r="O202" s="10" t="str">
        <x:v>ELTS code owner</x:v>
      </x:c>
      <x:c r="P202" s="10" t="str">
        <x:v>mixed</x:v>
      </x:c>
      <x:c r="Q202" s="10" t="str">
        <x:v>p6/P6.8-fail-safes</x:v>
      </x:c>
      <x:c r="R202" s="35" t="str"/>
      <x:c r="S202" s="35" t="str"/>
      <x:c r="T202" s="10" t="str"/>
      <x:c r="U202" s="10" t="str"/>
      <x:c r="V202" s="10" t="str">
        <x:v>ELTS Build Plan P6.8</x:v>
      </x:c>
    </x:row>
    <x:row r="203">
      <x:c r="A203" s="34" t="n">
        <x:v>198</x:v>
      </x:c>
      <x:c r="B203" s="34" t="str">
        <x:v>P6.8.V001</x:v>
      </x:c>
      <x:c r="C203" s="34" t="str">
        <x:v>P6.8</x:v>
      </x:c>
      <x:c r="D203" s="34" t="str">
        <x:v>P6</x:v>
      </x:c>
      <x:c r="E203" s="34" t="str">
        <x:v>G6</x:v>
      </x:c>
      <x:c r="F203" s="34" t="str">
        <x:v>WS-D</x:v>
      </x:c>
      <x:c r="G203" s="34" t="str">
        <x:v>verification</x:v>
      </x:c>
      <x:c r="H203" s="34" t="str">
        <x:v>Verify P6.8 against its completion criteria and attach evidence.</x:v>
      </x:c>
      <x:c r="I203" s="34" t="str">
        <x:v>P6.8.S003</x:v>
      </x:c>
      <x:c r="J203" s="34" t="str">
        <x:v>D-13</x:v>
      </x:c>
      <x:c r="K203" s="34" t="str">
        <x:v>Acceptance criteria and required evidence are satisfied and recorded.</x:v>
      </x:c>
      <x:c r="L203" s="34" t="str">
        <x:v>Acceptance criteria and required evidence are satisfied and recorded.</x:v>
      </x:c>
      <x:c r="M203" s="34" t="str">
        <x:v>fail-safe evidence</x:v>
      </x:c>
      <x:c r="N203" s="34" t="str">
        <x:v>not_started</x:v>
      </x:c>
      <x:c r="O203" s="34" t="str">
        <x:v>ELTS code owner</x:v>
      </x:c>
      <x:c r="P203" s="34" t="str">
        <x:v>mixed</x:v>
      </x:c>
      <x:c r="Q203" s="34" t="str">
        <x:v>p6/P6.8-fail-safes</x:v>
      </x:c>
      <x:c r="R203" s="36" t="str"/>
      <x:c r="S203" s="36" t="str"/>
      <x:c r="T203" s="34" t="str"/>
      <x:c r="U203" s="34" t="str"/>
      <x:c r="V203" s="34" t="str">
        <x:v>ELTS Build Plan P6.8</x:v>
      </x:c>
    </x:row>
    <x:row r="204">
      <x:c r="A204" s="10" t="n">
        <x:v>199</x:v>
      </x:c>
      <x:c r="B204" s="10" t="str">
        <x:v>P6.9.S001</x:v>
      </x:c>
      <x:c r="C204" s="10" t="str">
        <x:v>P6.9</x:v>
      </x:c>
      <x:c r="D204" s="10" t="str">
        <x:v>P6</x:v>
      </x:c>
      <x:c r="E204" s="10" t="str">
        <x:v>G6</x:v>
      </x:c>
      <x:c r="F204" s="10" t="str">
        <x:v>WS-D</x:v>
      </x:c>
      <x:c r="G204" s="10" t="str">
        <x:v>execution</x:v>
      </x:c>
      <x:c r="H204" s="10" t="str">
        <x:v>The Jetson logs, against t_jetson, at ≥ 10 Hz: state, LED on/off, face detected (bool), and turret commanded angles. Combined with the P6.3 offset, this tells the analysis when glare was actually being delivered — without it, "ELTS on" is only "commanded on."</x:v>
      </x:c>
      <x:c r="I204" s="10" t="str">
        <x:v>P6.7</x:v>
      </x:c>
      <x:c r="J204" s="10" t="str"/>
      <x:c r="K204" s="10" t="str">
        <x:v>Acceptance criteria and required evidence are satisfied and recorded.</x:v>
      </x:c>
      <x:c r="L204" s="10" t="str">
        <x:v>Acceptance criteria and required evidence are satisfied and recorded.</x:v>
      </x:c>
      <x:c r="M204" s="10" t="str">
        <x:v>Code, documentation, test evidence, or lab evidence named in the task</x:v>
      </x:c>
      <x:c r="N204" s="10" t="str">
        <x:v>not_started</x:v>
      </x:c>
      <x:c r="O204" s="10" t="str">
        <x:v>ELTS code owner</x:v>
      </x:c>
      <x:c r="P204" s="10" t="str">
        <x:v>agent</x:v>
      </x:c>
      <x:c r="Q204" s="10" t="str">
        <x:v>p6/P6.9-jetson-side-event-log-recommended-not-require</x:v>
      </x:c>
      <x:c r="R204" s="35" t="str"/>
      <x:c r="S204" s="35" t="str"/>
      <x:c r="T204" s="10" t="str"/>
      <x:c r="U204" s="10" t="str"/>
      <x:c r="V204" s="10" t="str">
        <x:v>ELTS Build Plan P6.9</x:v>
      </x:c>
    </x:row>
    <x:row r="205">
      <x:c r="A205" s="34" t="n">
        <x:v>200</x:v>
      </x:c>
      <x:c r="B205" s="34" t="str">
        <x:v>P6.9.V001</x:v>
      </x:c>
      <x:c r="C205" s="34" t="str">
        <x:v>P6.9</x:v>
      </x:c>
      <x:c r="D205" s="34" t="str">
        <x:v>P6</x:v>
      </x:c>
      <x:c r="E205" s="34" t="str">
        <x:v>G6</x:v>
      </x:c>
      <x:c r="F205" s="34" t="str">
        <x:v>WS-D</x:v>
      </x:c>
      <x:c r="G205" s="34" t="str">
        <x:v>verification</x:v>
      </x:c>
      <x:c r="H205" s="34" t="str">
        <x:v>Verify P6.9 against its completion criteria and attach evidence.</x:v>
      </x:c>
      <x:c r="I205" s="34" t="str">
        <x:v>P6.9.S001</x:v>
      </x:c>
      <x:c r="J205" s="34" t="str"/>
      <x:c r="K205" s="34" t="str">
        <x:v>Acceptance criteria and required evidence are satisfied and recorded.</x:v>
      </x:c>
      <x:c r="L205" s="34" t="str">
        <x:v>Acceptance criteria and required evidence are satisfied and recorded.</x:v>
      </x:c>
      <x:c r="M205" s="34" t="str">
        <x:v>Code, documentation, test evidence, or lab evidence named in the task</x:v>
      </x:c>
      <x:c r="N205" s="34" t="str">
        <x:v>not_started</x:v>
      </x:c>
      <x:c r="O205" s="34" t="str">
        <x:v>ELTS code owner</x:v>
      </x:c>
      <x:c r="P205" s="34" t="str">
        <x:v>automated_check</x:v>
      </x:c>
      <x:c r="Q205" s="34" t="str">
        <x:v>p6/P6.9-jetson-side-event-log-recommended-not-require</x:v>
      </x:c>
      <x:c r="R205" s="36" t="str"/>
      <x:c r="S205" s="36" t="str"/>
      <x:c r="T205" s="34" t="str"/>
      <x:c r="U205" s="34" t="str"/>
      <x:c r="V205" s="34" t="str">
        <x:v>ELTS Build Plan P6.9</x:v>
      </x:c>
    </x:row>
    <x:row r="206">
      <x:c r="A206" s="10" t="n">
        <x:v>201</x:v>
      </x:c>
      <x:c r="B206" s="10" t="str">
        <x:v>P6.10.S001</x:v>
      </x:c>
      <x:c r="C206" s="10" t="str">
        <x:v>P6.10</x:v>
      </x:c>
      <x:c r="D206" s="10" t="str">
        <x:v>P6</x:v>
      </x:c>
      <x:c r="E206" s="10" t="str">
        <x:v>G6</x:v>
      </x:c>
      <x:c r="F206" s="10" t="str">
        <x:v>WS-D</x:v>
      </x:c>
      <x:c r="G206" s="10" t="str">
        <x:v>execution</x:v>
      </x:c>
      <x:c r="H206" s="10" t="str">
        <x:v>ACK to START is sent when the LEDs are actually permitted (not when the message is parsed), so t_jetson in the ack is the stimulus onset time.</x:v>
      </x:c>
      <x:c r="I206" s="10" t="str">
        <x:v>P6.7</x:v>
      </x:c>
      <x:c r="J206" s="10" t="str"/>
      <x:c r="K206" s="10" t="str">
        <x:v>Change or evidence attributable to P6.10.S001</x:v>
      </x:c>
      <x:c r="L206" s="10" t="str">
        <x:v>Review the changed artifact and run the nearest relevant automated or lab check.</x:v>
      </x:c>
      <x:c r="M206" s="10" t="str">
        <x:v>Code, documentation, test evidence, or lab evidence named in the task</x:v>
      </x:c>
      <x:c r="N206" s="10" t="str">
        <x:v>not_started</x:v>
      </x:c>
      <x:c r="O206" s="10" t="str">
        <x:v>ELTS code owner</x:v>
      </x:c>
      <x:c r="P206" s="10" t="str">
        <x:v>agent</x:v>
      </x:c>
      <x:c r="Q206" s="10" t="str">
        <x:v>p6/P6.10-acknowledgement-semantics</x:v>
      </x:c>
      <x:c r="R206" s="35" t="str"/>
      <x:c r="S206" s="35" t="str"/>
      <x:c r="T206" s="10" t="str"/>
      <x:c r="U206" s="10" t="str"/>
      <x:c r="V206" s="10" t="str">
        <x:v>ELTS Build Plan P6.10</x:v>
      </x:c>
    </x:row>
    <x:row r="207">
      <x:c r="A207" s="34" t="n">
        <x:v>202</x:v>
      </x:c>
      <x:c r="B207" s="34" t="str">
        <x:v>P6.10.S002</x:v>
      </x:c>
      <x:c r="C207" s="34" t="str">
        <x:v>P6.10</x:v>
      </x:c>
      <x:c r="D207" s="34" t="str">
        <x:v>P6</x:v>
      </x:c>
      <x:c r="E207" s="34" t="str">
        <x:v>G6</x:v>
      </x:c>
      <x:c r="F207" s="34" t="str">
        <x:v>WS-D</x:v>
      </x:c>
      <x:c r="G207" s="34" t="str">
        <x:v>verification</x:v>
      </x:c>
      <x:c r="H207" s="34" t="str">
        <x:v>### Tests</x:v>
      </x:c>
      <x:c r="I207" s="34" t="str">
        <x:v>P6.10.S001</x:v>
      </x:c>
      <x:c r="J207" s="34" t="str"/>
      <x:c r="K207" s="34" t="str">
        <x:v>Acceptance criteria and required evidence are satisfied and recorded.</x:v>
      </x:c>
      <x:c r="L207" s="34" t="str">
        <x:v>Acceptance criteria and required evidence are satisfied and recorded.</x:v>
      </x:c>
      <x:c r="M207" s="34" t="str">
        <x:v>Code, documentation, test evidence, or lab evidence named in the task</x:v>
      </x:c>
      <x:c r="N207" s="34" t="str">
        <x:v>not_started</x:v>
      </x:c>
      <x:c r="O207" s="34" t="str">
        <x:v>ELTS code owner</x:v>
      </x:c>
      <x:c r="P207" s="34" t="str">
        <x:v>agent</x:v>
      </x:c>
      <x:c r="Q207" s="34" t="str">
        <x:v>p6/P6.10-acknowledgement-semantics</x:v>
      </x:c>
      <x:c r="R207" s="36" t="str"/>
      <x:c r="S207" s="36" t="str"/>
      <x:c r="T207" s="34" t="str"/>
      <x:c r="U207" s="34" t="str"/>
      <x:c r="V207" s="34" t="str">
        <x:v>ELTS Build Plan P6.10</x:v>
      </x:c>
    </x:row>
    <x:row r="208">
      <x:c r="A208" s="10" t="n">
        <x:v>203</x:v>
      </x:c>
      <x:c r="B208" s="10" t="str">
        <x:v>P6.10.V001</x:v>
      </x:c>
      <x:c r="C208" s="10" t="str">
        <x:v>P6.10</x:v>
      </x:c>
      <x:c r="D208" s="10" t="str">
        <x:v>P6</x:v>
      </x:c>
      <x:c r="E208" s="10" t="str">
        <x:v>G6</x:v>
      </x:c>
      <x:c r="F208" s="10" t="str">
        <x:v>WS-D</x:v>
      </x:c>
      <x:c r="G208" s="10" t="str">
        <x:v>verification</x:v>
      </x:c>
      <x:c r="H208" s="10" t="str">
        <x:v>Verify P6.10 against its completion criteria and attach evidence.</x:v>
      </x:c>
      <x:c r="I208" s="10" t="str">
        <x:v>P6.10.S002</x:v>
      </x:c>
      <x:c r="J208" s="10" t="str"/>
      <x:c r="K208" s="10" t="str">
        <x:v>Acceptance criteria and required evidence are satisfied and recorded.</x:v>
      </x:c>
      <x:c r="L208" s="10" t="str">
        <x:v>Acceptance criteria and required evidence are satisfied and recorded.</x:v>
      </x:c>
      <x:c r="M208" s="10" t="str">
        <x:v>Code, documentation, test evidence, or lab evidence named in the task</x:v>
      </x:c>
      <x:c r="N208" s="10" t="str">
        <x:v>not_started</x:v>
      </x:c>
      <x:c r="O208" s="10" t="str">
        <x:v>ELTS code owner</x:v>
      </x:c>
      <x:c r="P208" s="10" t="str">
        <x:v>automated_check</x:v>
      </x:c>
      <x:c r="Q208" s="10" t="str">
        <x:v>p6/P6.10-acknowledgement-semantics</x:v>
      </x:c>
      <x:c r="R208" s="35" t="str"/>
      <x:c r="S208" s="35" t="str"/>
      <x:c r="T208" s="10" t="str"/>
      <x:c r="U208" s="10" t="str"/>
      <x:c r="V208" s="10" t="str">
        <x:v>ELTS Build Plan P6.10</x:v>
      </x:c>
    </x:row>
    <x:row r="209">
      <x:c r="A209" s="34" t="n">
        <x:v>204</x:v>
      </x:c>
      <x:c r="B209" s="34" t="str">
        <x:v>P6.11.S001</x:v>
      </x:c>
      <x:c r="C209" s="34" t="str">
        <x:v>P6.11</x:v>
      </x:c>
      <x:c r="D209" s="34" t="str">
        <x:v>P6</x:v>
      </x:c>
      <x:c r="E209" s="34" t="str">
        <x:v>G6</x:v>
      </x:c>
      <x:c r="F209" s="34" t="str">
        <x:v>WS-C, WS-D</x:v>
      </x:c>
      <x:c r="G209" s="34" t="str">
        <x:v>execution</x:v>
      </x:c>
      <x:c r="H209" s="34" t="str">
        <x:v>20 consecutive START/STOP cycles; all acked; offsets logged; offset stable within 20 ms across cycles (provisional).</x:v>
      </x:c>
      <x:c r="I209" s="34" t="str">
        <x:v>P6.1:P6.10</x:v>
      </x:c>
      <x:c r="J209" s="34" t="str"/>
      <x:c r="K209" s="34" t="str">
        <x:v>Acceptance criteria and required evidence are satisfied and recorded.</x:v>
      </x:c>
      <x:c r="L209" s="34" t="str">
        <x:v>Acceptance criteria and required evidence are satisfied and recorded.</x:v>
      </x:c>
      <x:c r="M209" s="34" t="str">
        <x:v>link test report</x:v>
      </x:c>
      <x:c r="N209" s="34" t="str">
        <x:v>not_started</x:v>
      </x:c>
      <x:c r="O209" s="34" t="str">
        <x:v>Developer</x:v>
      </x:c>
      <x:c r="P209" s="34" t="str">
        <x:v>mixed</x:v>
      </x:c>
      <x:c r="Q209" s="34" t="str">
        <x:v>p6/P6.11-link-test</x:v>
      </x:c>
      <x:c r="R209" s="36" t="str"/>
      <x:c r="S209" s="36" t="str"/>
      <x:c r="T209" s="34" t="str"/>
      <x:c r="U209" s="34" t="str"/>
      <x:c r="V209" s="34" t="str">
        <x:v>ELTS Build Plan P6.11</x:v>
      </x:c>
    </x:row>
    <x:row r="210">
      <x:c r="A210" s="10" t="n">
        <x:v>205</x:v>
      </x:c>
      <x:c r="B210" s="10" t="str">
        <x:v>P6.11.V001</x:v>
      </x:c>
      <x:c r="C210" s="10" t="str">
        <x:v>P6.11</x:v>
      </x:c>
      <x:c r="D210" s="10" t="str">
        <x:v>P6</x:v>
      </x:c>
      <x:c r="E210" s="10" t="str">
        <x:v>G6</x:v>
      </x:c>
      <x:c r="F210" s="10" t="str">
        <x:v>WS-C, WS-D</x:v>
      </x:c>
      <x:c r="G210" s="10" t="str">
        <x:v>verification</x:v>
      </x:c>
      <x:c r="H210" s="10" t="str">
        <x:v>Verify P6.11 against its completion criteria and attach evidence.</x:v>
      </x:c>
      <x:c r="I210" s="10" t="str">
        <x:v>P6.11.S001</x:v>
      </x:c>
      <x:c r="J210" s="10" t="str"/>
      <x:c r="K210" s="10" t="str">
        <x:v>Acceptance criteria and required evidence are satisfied and recorded.</x:v>
      </x:c>
      <x:c r="L210" s="10" t="str">
        <x:v>Acceptance criteria and required evidence are satisfied and recorded.</x:v>
      </x:c>
      <x:c r="M210" s="10" t="str">
        <x:v>link test report</x:v>
      </x:c>
      <x:c r="N210" s="10" t="str">
        <x:v>not_started</x:v>
      </x:c>
      <x:c r="O210" s="10" t="str">
        <x:v>Developer</x:v>
      </x:c>
      <x:c r="P210" s="10" t="str">
        <x:v>mixed</x:v>
      </x:c>
      <x:c r="Q210" s="10" t="str">
        <x:v>p6/P6.11-link-test</x:v>
      </x:c>
      <x:c r="R210" s="35" t="str"/>
      <x:c r="S210" s="35" t="str"/>
      <x:c r="T210" s="10" t="str"/>
      <x:c r="U210" s="10" t="str"/>
      <x:c r="V210" s="10" t="str">
        <x:v>ELTS Build Plan P6.11</x:v>
      </x:c>
    </x:row>
    <x:row r="211">
      <x:c r="A211" s="34" t="n">
        <x:v>206</x:v>
      </x:c>
      <x:c r="B211" s="34" t="str">
        <x:v>P6.12.S001</x:v>
      </x:c>
      <x:c r="C211" s="34" t="str">
        <x:v>P6.12</x:v>
      </x:c>
      <x:c r="D211" s="34" t="str">
        <x:v>P6</x:v>
      </x:c>
      <x:c r="E211" s="34" t="str">
        <x:v>G6</x:v>
      </x:c>
      <x:c r="F211" s="34" t="str">
        <x:v>WS-C, WS-D</x:v>
      </x:c>
      <x:c r="G211" s="34" t="str">
        <x:v>documentation</x:v>
      </x:c>
      <x:c r="H211" s="34" t="str">
        <x:v>(a) Kill the Unity process mid-block → LEDs off within the timeout; (b) unplug the transport → same; (c) E-stop → LEDs off immediately regardless of software state; the operator then sends STOP and the Jetson reports Armed/Idle; (d) leave a block running past the guard → LEDs off at the guard time.</x:v>
      </x:c>
      <x:c r="I211" s="34" t="str">
        <x:v>P6.8</x:v>
      </x:c>
      <x:c r="J211" s="34" t="str"/>
      <x:c r="K211" s="34" t="str">
        <x:v>Acceptance criteria and required evidence are satisfied and recorded.</x:v>
      </x:c>
      <x:c r="L211" s="34" t="str">
        <x:v>Acceptance criteria and required evidence are satisfied and recorded.</x:v>
      </x:c>
      <x:c r="M211" s="34" t="str">
        <x:v>fail-safe report</x:v>
      </x:c>
      <x:c r="N211" s="34" t="str">
        <x:v>not_started</x:v>
      </x:c>
      <x:c r="O211" s="34" t="str">
        <x:v>Developer</x:v>
      </x:c>
      <x:c r="P211" s="34" t="str">
        <x:v>mixed</x:v>
      </x:c>
      <x:c r="Q211" s="34" t="str">
        <x:v>p6/P6.12-fail-safe-tests</x:v>
      </x:c>
      <x:c r="R211" s="36" t="str"/>
      <x:c r="S211" s="36" t="str"/>
      <x:c r="T211" s="34" t="str"/>
      <x:c r="U211" s="34" t="str"/>
      <x:c r="V211" s="34" t="str">
        <x:v>ELTS Build Plan P6.12</x:v>
      </x:c>
    </x:row>
    <x:row r="212">
      <x:c r="A212" s="10" t="n">
        <x:v>207</x:v>
      </x:c>
      <x:c r="B212" s="10" t="str">
        <x:v>P6.12.V001</x:v>
      </x:c>
      <x:c r="C212" s="10" t="str">
        <x:v>P6.12</x:v>
      </x:c>
      <x:c r="D212" s="10" t="str">
        <x:v>P6</x:v>
      </x:c>
      <x:c r="E212" s="10" t="str">
        <x:v>G6</x:v>
      </x:c>
      <x:c r="F212" s="10" t="str">
        <x:v>WS-C, WS-D</x:v>
      </x:c>
      <x:c r="G212" s="10" t="str">
        <x:v>verification</x:v>
      </x:c>
      <x:c r="H212" s="10" t="str">
        <x:v>Verify P6.12 against its completion criteria and attach evidence.</x:v>
      </x:c>
      <x:c r="I212" s="10" t="str">
        <x:v>P6.12.S001</x:v>
      </x:c>
      <x:c r="J212" s="10" t="str"/>
      <x:c r="K212" s="10" t="str">
        <x:v>Acceptance criteria and required evidence are satisfied and recorded.</x:v>
      </x:c>
      <x:c r="L212" s="10" t="str">
        <x:v>Acceptance criteria and required evidence are satisfied and recorded.</x:v>
      </x:c>
      <x:c r="M212" s="10" t="str">
        <x:v>fail-safe report</x:v>
      </x:c>
      <x:c r="N212" s="10" t="str">
        <x:v>not_started</x:v>
      </x:c>
      <x:c r="O212" s="10" t="str">
        <x:v>Developer</x:v>
      </x:c>
      <x:c r="P212" s="10" t="str">
        <x:v>mixed</x:v>
      </x:c>
      <x:c r="Q212" s="10" t="str">
        <x:v>p6/P6.12-fail-safe-tests</x:v>
      </x:c>
      <x:c r="R212" s="35" t="str"/>
      <x:c r="S212" s="35" t="str"/>
      <x:c r="T212" s="10" t="str"/>
      <x:c r="U212" s="10" t="str"/>
      <x:c r="V212" s="10" t="str">
        <x:v>ELTS Build Plan P6.12</x:v>
      </x:c>
    </x:row>
    <x:row r="213">
      <x:c r="A213" s="34" t="n">
        <x:v>208</x:v>
      </x:c>
      <x:c r="B213" s="34" t="str">
        <x:v>P6.13.S001</x:v>
      </x:c>
      <x:c r="C213" s="34" t="str">
        <x:v>P6.13</x:v>
      </x:c>
      <x:c r="D213" s="34" t="str">
        <x:v>P6</x:v>
      </x:c>
      <x:c r="E213" s="34" t="str">
        <x:v>G6</x:v>
      </x:c>
      <x:c r="F213" s="34" t="str">
        <x:v>WS-C, WS-D</x:v>
      </x:c>
      <x:c r="G213" s="34" t="str">
        <x:v>verification</x:v>
      </x:c>
      <x:c r="H213" s="34" t="str">
        <x:v>Document the required order (Jetson service up → SteamVR → Unity) in the operator checklist; the self-check enforces it.</x:v>
      </x:c>
      <x:c r="I213" s="34" t="str">
        <x:v>P6.5, P6.7</x:v>
      </x:c>
      <x:c r="J213" s="34" t="str"/>
      <x:c r="K213" s="34" t="str">
        <x:v>Acceptance criteria and required evidence are satisfied and recorded.</x:v>
      </x:c>
      <x:c r="L213" s="34" t="str">
        <x:v>Acceptance criteria and required evidence are satisfied and recorded.</x:v>
      </x:c>
      <x:c r="M213" s="34" t="str">
        <x:v>Code, documentation, test evidence, or lab evidence named in the task</x:v>
      </x:c>
      <x:c r="N213" s="34" t="str">
        <x:v>not_started</x:v>
      </x:c>
      <x:c r="O213" s="34" t="str">
        <x:v>Developer</x:v>
      </x:c>
      <x:c r="P213" s="34" t="str">
        <x:v>mixed</x:v>
      </x:c>
      <x:c r="Q213" s="34" t="str">
        <x:v>p6/P6.13-startup-ordering</x:v>
      </x:c>
      <x:c r="R213" s="36" t="str"/>
      <x:c r="S213" s="36" t="str"/>
      <x:c r="T213" s="34" t="str"/>
      <x:c r="U213" s="34" t="str"/>
      <x:c r="V213" s="34" t="str">
        <x:v>ELTS Build Plan P6.13</x:v>
      </x:c>
    </x:row>
    <x:row r="214">
      <x:c r="A214" s="10" t="n">
        <x:v>209</x:v>
      </x:c>
      <x:c r="B214" s="10" t="str">
        <x:v>P6.13.V001</x:v>
      </x:c>
      <x:c r="C214" s="10" t="str">
        <x:v>P6.13</x:v>
      </x:c>
      <x:c r="D214" s="10" t="str">
        <x:v>P6</x:v>
      </x:c>
      <x:c r="E214" s="10" t="str">
        <x:v>G6</x:v>
      </x:c>
      <x:c r="F214" s="10" t="str">
        <x:v>WS-C, WS-D</x:v>
      </x:c>
      <x:c r="G214" s="10" t="str">
        <x:v>verification</x:v>
      </x:c>
      <x:c r="H214" s="10" t="str">
        <x:v>Verify P6.13 against its completion criteria and attach evidence.</x:v>
      </x:c>
      <x:c r="I214" s="10" t="str">
        <x:v>P6.13.S001</x:v>
      </x:c>
      <x:c r="J214" s="10" t="str"/>
      <x:c r="K214" s="10" t="str">
        <x:v>Acceptance criteria and required evidence are satisfied and recorded.</x:v>
      </x:c>
      <x:c r="L214" s="10" t="str">
        <x:v>Acceptance criteria and required evidence are satisfied and recorded.</x:v>
      </x:c>
      <x:c r="M214" s="10" t="str">
        <x:v>Code, documentation, test evidence, or lab evidence named in the task</x:v>
      </x:c>
      <x:c r="N214" s="10" t="str">
        <x:v>not_started</x:v>
      </x:c>
      <x:c r="O214" s="10" t="str">
        <x:v>Developer</x:v>
      </x:c>
      <x:c r="P214" s="10" t="str">
        <x:v>mixed</x:v>
      </x:c>
      <x:c r="Q214" s="10" t="str">
        <x:v>p6/P6.13-startup-ordering</x:v>
      </x:c>
      <x:c r="R214" s="35" t="str"/>
      <x:c r="S214" s="35" t="str"/>
      <x:c r="T214" s="10" t="str"/>
      <x:c r="U214" s="10" t="str"/>
      <x:c r="V214" s="10" t="str">
        <x:v>ELTS Build Plan P6.13</x:v>
      </x:c>
    </x:row>
    <x:row r="215">
      <x:c r="A215" s="34" t="n">
        <x:v>210</x:v>
      </x:c>
      <x:c r="B215" s="34" t="str">
        <x:v>P7.1.S001</x:v>
      </x:c>
      <x:c r="C215" s="34" t="str">
        <x:v>P7.1</x:v>
      </x:c>
      <x:c r="D215" s="34" t="str">
        <x:v>P7</x:v>
      </x:c>
      <x:c r="E215" s="34" t="str">
        <x:v>G7</x:v>
      </x:c>
      <x:c r="F215" s="34" t="str">
        <x:v>WS-C, WS-D, WS-E</x:v>
      </x:c>
      <x:c r="G215" s="34" t="str">
        <x:v>verification</x:v>
      </x:c>
      <x:c r="H215" s="34" t="str">
        <x:v>Install the final display and base station per D-02; re-run pivot (if the probe changed) and corner probe; re-check corner rods; run the bore-laser check.</x:v>
      </x:c>
      <x:c r="I215" s="34" t="str">
        <x:v>G5, G6, D-01, D-02</x:v>
      </x:c>
      <x:c r="J215" s="34" t="str">
        <x:v>D-02</x:v>
      </x:c>
      <x:c r="K215" s="34" t="str">
        <x:v>Acceptance criteria and required evidence are satisfied and recorded.</x:v>
      </x:c>
      <x:c r="L215" s="34" t="str">
        <x:v>Acceptance criteria and required evidence are satisfied and recorded.</x:v>
      </x:c>
      <x:c r="M215" s="34" t="str">
        <x:v>Code, documentation, test evidence, or lab evidence named in the task</x:v>
      </x:c>
      <x:c r="N215" s="34" t="str">
        <x:v>not_started</x:v>
      </x:c>
      <x:c r="O215" s="34" t="str">
        <x:v>Investigator, developer, and lab operator</x:v>
      </x:c>
      <x:c r="P215" s="34" t="str">
        <x:v>lab_hardware</x:v>
      </x:c>
      <x:c r="Q215" s="34" t="str">
        <x:v>p7/P7.1-final-placement-and-re-calibration</x:v>
      </x:c>
      <x:c r="R215" s="36" t="str"/>
      <x:c r="S215" s="36" t="str"/>
      <x:c r="T215" s="34" t="str"/>
      <x:c r="U215" s="34" t="str"/>
      <x:c r="V215" s="34" t="str">
        <x:v>ELTS Build Plan P7.1</x:v>
      </x:c>
    </x:row>
    <x:row r="216">
      <x:c r="A216" s="10" t="n">
        <x:v>211</x:v>
      </x:c>
      <x:c r="B216" s="10" t="str">
        <x:v>P7.1.V001</x:v>
      </x:c>
      <x:c r="C216" s="10" t="str">
        <x:v>P7.1</x:v>
      </x:c>
      <x:c r="D216" s="10" t="str">
        <x:v>P7</x:v>
      </x:c>
      <x:c r="E216" s="10" t="str">
        <x:v>G7</x:v>
      </x:c>
      <x:c r="F216" s="10" t="str">
        <x:v>WS-C, WS-D, WS-E</x:v>
      </x:c>
      <x:c r="G216" s="10" t="str">
        <x:v>verification</x:v>
      </x:c>
      <x:c r="H216" s="10" t="str">
        <x:v>Verify P7.1 against its completion criteria and attach evidence.</x:v>
      </x:c>
      <x:c r="I216" s="10" t="str">
        <x:v>P7.1.S001</x:v>
      </x:c>
      <x:c r="J216" s="10" t="str">
        <x:v>D-02</x:v>
      </x:c>
      <x:c r="K216" s="10" t="str">
        <x:v>Acceptance criteria and required evidence are satisfied and recorded.</x:v>
      </x:c>
      <x:c r="L216" s="10" t="str">
        <x:v>Acceptance criteria and required evidence are satisfied and recorded.</x:v>
      </x:c>
      <x:c r="M216" s="10" t="str">
        <x:v>Code, documentation, test evidence, or lab evidence named in the task</x:v>
      </x:c>
      <x:c r="N216" s="10" t="str">
        <x:v>not_started</x:v>
      </x:c>
      <x:c r="O216" s="10" t="str">
        <x:v>Investigator, developer, and lab operator</x:v>
      </x:c>
      <x:c r="P216" s="10" t="str">
        <x:v>lab_hardware</x:v>
      </x:c>
      <x:c r="Q216" s="10" t="str">
        <x:v>p7/P7.1-final-placement-and-re-calibration</x:v>
      </x:c>
      <x:c r="R216" s="35" t="str"/>
      <x:c r="S216" s="35" t="str"/>
      <x:c r="T216" s="10" t="str"/>
      <x:c r="U216" s="10" t="str"/>
      <x:c r="V216" s="10" t="str">
        <x:v>ELTS Build Plan P7.1</x:v>
      </x:c>
    </x:row>
    <x:row r="217">
      <x:c r="A217" s="34" t="n">
        <x:v>212</x:v>
      </x:c>
      <x:c r="B217" s="34" t="str">
        <x:v>P7.2.S001</x:v>
      </x:c>
      <x:c r="C217" s="34" t="str">
        <x:v>P7.2</x:v>
      </x:c>
      <x:c r="D217" s="34" t="str">
        <x:v>P7</x:v>
      </x:c>
      <x:c r="E217" s="34" t="str">
        <x:v>G7</x:v>
      </x:c>
      <x:c r="F217" s="34" t="str">
        <x:v>WS-C, WS-D, WS-E</x:v>
      </x:c>
      <x:c r="G217" s="34" t="str">
        <x:v>verification</x:v>
      </x:c>
      <x:c r="H217" s="34" t="str">
        <x:v>Tracking validity and jitter for both trackers with the ELTS at full experimental intensity aimed at the participant position, LEDs on vs. off, 5 minutes each. Include the Brio: it contains an IR illuminator for Windows Hello, so confirm it is not active under the Jetson pipeline. Also confirm the ELTS's face detection is unaffected by the base station's IR sweeps.</x:v>
      </x:c>
      <x:c r="I217" s="34" t="str">
        <x:v>P7.1</x:v>
      </x:c>
      <x:c r="J217" s="34" t="str"/>
      <x:c r="K217" s="34" t="str">
        <x:v>Acceptance criteria and required evidence are satisfied and recorded.</x:v>
      </x:c>
      <x:c r="L217" s="34" t="str">
        <x:v>Acceptance criteria and required evidence are satisfied and recorded.</x:v>
      </x:c>
      <x:c r="M217" s="34" t="str">
        <x:v>docs/validation/D.1-infrared.md</x:v>
      </x:c>
      <x:c r="N217" s="34" t="str">
        <x:v>not_started</x:v>
      </x:c>
      <x:c r="O217" s="34" t="str">
        <x:v>Investigator, developer, and lab operator</x:v>
      </x:c>
      <x:c r="P217" s="34" t="str">
        <x:v>lab_hardware</x:v>
      </x:c>
      <x:c r="Q217" s="34" t="str">
        <x:v>p7/P7.2-ir-interference-test-appendix-d-1</x:v>
      </x:c>
      <x:c r="R217" s="36" t="str"/>
      <x:c r="S217" s="36" t="str"/>
      <x:c r="T217" s="34" t="str"/>
      <x:c r="U217" s="34" t="str"/>
      <x:c r="V217" s="34" t="str">
        <x:v>ELTS Build Plan P7.2</x:v>
      </x:c>
    </x:row>
    <x:row r="218">
      <x:c r="A218" s="10" t="n">
        <x:v>213</x:v>
      </x:c>
      <x:c r="B218" s="10" t="str">
        <x:v>P7.2.V001</x:v>
      </x:c>
      <x:c r="C218" s="10" t="str">
        <x:v>P7.2</x:v>
      </x:c>
      <x:c r="D218" s="10" t="str">
        <x:v>P7</x:v>
      </x:c>
      <x:c r="E218" s="10" t="str">
        <x:v>G7</x:v>
      </x:c>
      <x:c r="F218" s="10" t="str">
        <x:v>WS-C, WS-D, WS-E</x:v>
      </x:c>
      <x:c r="G218" s="10" t="str">
        <x:v>verification</x:v>
      </x:c>
      <x:c r="H218" s="10" t="str">
        <x:v>Verify P7.2 against its completion criteria and attach evidence.</x:v>
      </x:c>
      <x:c r="I218" s="10" t="str">
        <x:v>P7.2.S001</x:v>
      </x:c>
      <x:c r="J218" s="10" t="str"/>
      <x:c r="K218" s="10" t="str">
        <x:v>Acceptance criteria and required evidence are satisfied and recorded.</x:v>
      </x:c>
      <x:c r="L218" s="10" t="str">
        <x:v>Acceptance criteria and required evidence are satisfied and recorded.</x:v>
      </x:c>
      <x:c r="M218" s="10" t="str">
        <x:v>docs/validation/D.1-infrared.md</x:v>
      </x:c>
      <x:c r="N218" s="10" t="str">
        <x:v>not_started</x:v>
      </x:c>
      <x:c r="O218" s="10" t="str">
        <x:v>Investigator, developer, and lab operator</x:v>
      </x:c>
      <x:c r="P218" s="10" t="str">
        <x:v>lab_hardware</x:v>
      </x:c>
      <x:c r="Q218" s="10" t="str">
        <x:v>p7/P7.2-ir-interference-test-appendix-d-1</x:v>
      </x:c>
      <x:c r="R218" s="35" t="str"/>
      <x:c r="S218" s="35" t="str"/>
      <x:c r="T218" s="10" t="str"/>
      <x:c r="U218" s="10" t="str"/>
      <x:c r="V218" s="10" t="str">
        <x:v>ELTS Build Plan P7.2</x:v>
      </x:c>
    </x:row>
    <x:row r="219">
      <x:c r="A219" s="34" t="n">
        <x:v>214</x:v>
      </x:c>
      <x:c r="B219" s="34" t="str">
        <x:v>P7.3.S001</x:v>
      </x:c>
      <x:c r="C219" s="34" t="str">
        <x:v>P7.3</x:v>
      </x:c>
      <x:c r="D219" s="34" t="str">
        <x:v>P7</x:v>
      </x:c>
      <x:c r="E219" s="34" t="str">
        <x:v>G7</x:v>
      </x:c>
      <x:c r="F219" s="34" t="str">
        <x:v>WS-C, WS-D, WS-E</x:v>
      </x:c>
      <x:c r="G219" s="34" t="str">
        <x:v>execution</x:v>
      </x:c>
      <x:c r="H219" s="34" t="str">
        <x:v>Display luminance at nine screen points with LEDs off vs. on (participant position occupied by a mannequin or lab member); pass if the change is within the D-11/D-17 threshold; photograph the geometry. Adjust ELTS aim limits or placement if it fails.</x:v>
      </x:c>
      <x:c r="I219" s="34" t="str">
        <x:v>P7.1, D-11</x:v>
      </x:c>
      <x:c r="J219" s="34" t="str">
        <x:v>D-11, D-17</x:v>
      </x:c>
      <x:c r="K219" s="34" t="str">
        <x:v>Acceptance criteria and required evidence are satisfied and recorded.</x:v>
      </x:c>
      <x:c r="L219" s="34" t="str">
        <x:v>Acceptance criteria and required evidence are satisfied and recorded.</x:v>
      </x:c>
      <x:c r="M219" s="34" t="str">
        <x:v>docs/validation/D.2-washout.md</x:v>
      </x:c>
      <x:c r="N219" s="34" t="str">
        <x:v>not_started</x:v>
      </x:c>
      <x:c r="O219" s="34" t="str">
        <x:v>Investigator, developer, and lab operator</x:v>
      </x:c>
      <x:c r="P219" s="34" t="str">
        <x:v>lab_hardware</x:v>
      </x:c>
      <x:c r="Q219" s="34" t="str">
        <x:v>p7/P7.3-display-washout-test-appendix-d-2</x:v>
      </x:c>
      <x:c r="R219" s="36" t="str"/>
      <x:c r="S219" s="36" t="str"/>
      <x:c r="T219" s="34" t="str"/>
      <x:c r="U219" s="34" t="str"/>
      <x:c r="V219" s="34" t="str">
        <x:v>ELTS Build Plan P7.3</x:v>
      </x:c>
    </x:row>
    <x:row r="220">
      <x:c r="A220" s="10" t="n">
        <x:v>215</x:v>
      </x:c>
      <x:c r="B220" s="10" t="str">
        <x:v>P7.3.V001</x:v>
      </x:c>
      <x:c r="C220" s="10" t="str">
        <x:v>P7.3</x:v>
      </x:c>
      <x:c r="D220" s="10" t="str">
        <x:v>P7</x:v>
      </x:c>
      <x:c r="E220" s="10" t="str">
        <x:v>G7</x:v>
      </x:c>
      <x:c r="F220" s="10" t="str">
        <x:v>WS-C, WS-D, WS-E</x:v>
      </x:c>
      <x:c r="G220" s="10" t="str">
        <x:v>verification</x:v>
      </x:c>
      <x:c r="H220" s="10" t="str">
        <x:v>Verify P7.3 against its completion criteria and attach evidence.</x:v>
      </x:c>
      <x:c r="I220" s="10" t="str">
        <x:v>P7.3.S001</x:v>
      </x:c>
      <x:c r="J220" s="10" t="str">
        <x:v>D-11, D-17</x:v>
      </x:c>
      <x:c r="K220" s="10" t="str">
        <x:v>Acceptance criteria and required evidence are satisfied and recorded.</x:v>
      </x:c>
      <x:c r="L220" s="10" t="str">
        <x:v>Acceptance criteria and required evidence are satisfied and recorded.</x:v>
      </x:c>
      <x:c r="M220" s="10" t="str">
        <x:v>docs/validation/D.2-washout.md</x:v>
      </x:c>
      <x:c r="N220" s="10" t="str">
        <x:v>not_started</x:v>
      </x:c>
      <x:c r="O220" s="10" t="str">
        <x:v>Investigator, developer, and lab operator</x:v>
      </x:c>
      <x:c r="P220" s="10" t="str">
        <x:v>lab_hardware</x:v>
      </x:c>
      <x:c r="Q220" s="10" t="str">
        <x:v>p7/P7.3-display-washout-test-appendix-d-2</x:v>
      </x:c>
      <x:c r="R220" s="35" t="str"/>
      <x:c r="S220" s="35" t="str"/>
      <x:c r="T220" s="10" t="str"/>
      <x:c r="U220" s="10" t="str"/>
      <x:c r="V220" s="10" t="str">
        <x:v>ELTS Build Plan P7.3</x:v>
      </x:c>
    </x:row>
    <x:row r="221">
      <x:c r="A221" s="34" t="n">
        <x:v>216</x:v>
      </x:c>
      <x:c r="B221" s="34" t="str">
        <x:v>P7.4.S001</x:v>
      </x:c>
      <x:c r="C221" s="34" t="str">
        <x:v>P7.4</x:v>
      </x:c>
      <x:c r="D221" s="34" t="str">
        <x:v>P7</x:v>
      </x:c>
      <x:c r="E221" s="34" t="str">
        <x:v>G7</x:v>
      </x:c>
      <x:c r="F221" s="34" t="str">
        <x:v>WS-C, WS-D, WS-E</x:v>
      </x:c>
      <x:c r="G221" s="34" t="str">
        <x:v>documentation</x:v>
      </x:c>
      <x:c r="H221" s="34" t="str">
        <x:v>Three lab members of different heights play a full 5-minute MT block each; report invalid-sample fraction per tracker. If above threshold, adjust base station height/angle and repeat.</x:v>
      </x:c>
      <x:c r="I221" s="34" t="str">
        <x:v>P7.1</x:v>
      </x:c>
      <x:c r="J221" s="34" t="str"/>
      <x:c r="K221" s="34" t="str">
        <x:v>Acceptance criteria and required evidence are satisfied and recorded.</x:v>
      </x:c>
      <x:c r="L221" s="34" t="str">
        <x:v>Acceptance criteria and required evidence are satisfied and recorded.</x:v>
      </x:c>
      <x:c r="M221" s="34" t="str">
        <x:v>docs/validation/D.3-occlusion.md</x:v>
      </x:c>
      <x:c r="N221" s="34" t="str">
        <x:v>not_started</x:v>
      </x:c>
      <x:c r="O221" s="34" t="str">
        <x:v>Investigator, developer, and lab operator</x:v>
      </x:c>
      <x:c r="P221" s="34" t="str">
        <x:v>lab_hardware</x:v>
      </x:c>
      <x:c r="Q221" s="34" t="str">
        <x:v>p7/P7.4-occlusion-characterization-appendix-d-3</x:v>
      </x:c>
      <x:c r="R221" s="36" t="str"/>
      <x:c r="S221" s="36" t="str"/>
      <x:c r="T221" s="34" t="str"/>
      <x:c r="U221" s="34" t="str"/>
      <x:c r="V221" s="34" t="str">
        <x:v>ELTS Build Plan P7.4</x:v>
      </x:c>
    </x:row>
    <x:row r="222">
      <x:c r="A222" s="10" t="n">
        <x:v>217</x:v>
      </x:c>
      <x:c r="B222" s="10" t="str">
        <x:v>P7.4.V001</x:v>
      </x:c>
      <x:c r="C222" s="10" t="str">
        <x:v>P7.4</x:v>
      </x:c>
      <x:c r="D222" s="10" t="str">
        <x:v>P7</x:v>
      </x:c>
      <x:c r="E222" s="10" t="str">
        <x:v>G7</x:v>
      </x:c>
      <x:c r="F222" s="10" t="str">
        <x:v>WS-C, WS-D, WS-E</x:v>
      </x:c>
      <x:c r="G222" s="10" t="str">
        <x:v>verification</x:v>
      </x:c>
      <x:c r="H222" s="10" t="str">
        <x:v>Verify P7.4 against its completion criteria and attach evidence.</x:v>
      </x:c>
      <x:c r="I222" s="10" t="str">
        <x:v>P7.4.S001</x:v>
      </x:c>
      <x:c r="J222" s="10" t="str"/>
      <x:c r="K222" s="10" t="str">
        <x:v>Acceptance criteria and required evidence are satisfied and recorded.</x:v>
      </x:c>
      <x:c r="L222" s="10" t="str">
        <x:v>Acceptance criteria and required evidence are satisfied and recorded.</x:v>
      </x:c>
      <x:c r="M222" s="10" t="str">
        <x:v>docs/validation/D.3-occlusion.md</x:v>
      </x:c>
      <x:c r="N222" s="10" t="str">
        <x:v>not_started</x:v>
      </x:c>
      <x:c r="O222" s="10" t="str">
        <x:v>Investigator, developer, and lab operator</x:v>
      </x:c>
      <x:c r="P222" s="10" t="str">
        <x:v>lab_hardware</x:v>
      </x:c>
      <x:c r="Q222" s="10" t="str">
        <x:v>p7/P7.4-occlusion-characterization-appendix-d-3</x:v>
      </x:c>
      <x:c r="R222" s="35" t="str"/>
      <x:c r="S222" s="35" t="str"/>
      <x:c r="T222" s="10" t="str"/>
      <x:c r="U222" s="10" t="str"/>
      <x:c r="V222" s="10" t="str">
        <x:v>ELTS Build Plan P7.4</x:v>
      </x:c>
    </x:row>
    <x:row r="223">
      <x:c r="A223" s="34" t="n">
        <x:v>218</x:v>
      </x:c>
      <x:c r="B223" s="34" t="str">
        <x:v>P7.5.S001</x:v>
      </x:c>
      <x:c r="C223" s="34" t="str">
        <x:v>P7.5</x:v>
      </x:c>
      <x:c r="D223" s="34" t="str">
        <x:v>P7</x:v>
      </x:c>
      <x:c r="E223" s="34" t="str">
        <x:v>G7</x:v>
      </x:c>
      <x:c r="F223" s="34" t="str">
        <x:v>WS-C, WS-D, WS-E</x:v>
      </x:c>
      <x:c r="G223" s="34" t="str">
        <x:v>verification</x:v>
      </x:c>
      <x:c r="H223" s="34" t="str">
        <x:v>Bore-laser check at 9 points from 3 standing positions; report mean/max angular error. This number goes in the methods section.</x:v>
      </x:c>
      <x:c r="I223" s="34" t="str">
        <x:v>P7.1</x:v>
      </x:c>
      <x:c r="J223" s="34" t="str"/>
      <x:c r="K223" s="34" t="str">
        <x:v>Acceptance criteria and required evidence are satisfied and recorded.</x:v>
      </x:c>
      <x:c r="L223" s="34" t="str">
        <x:v>Acceptance criteria and required evidence are satisfied and recorded.</x:v>
      </x:c>
      <x:c r="M223" s="34" t="str">
        <x:v>docs/validation/D.4-registration.md</x:v>
      </x:c>
      <x:c r="N223" s="34" t="str">
        <x:v>not_started</x:v>
      </x:c>
      <x:c r="O223" s="34" t="str">
        <x:v>Investigator, developer, and lab operator</x:v>
      </x:c>
      <x:c r="P223" s="34" t="str">
        <x:v>lab_hardware</x:v>
      </x:c>
      <x:c r="Q223" s="34" t="str">
        <x:v>p7/P7.5-registration-accuracy-appendix-d-4</x:v>
      </x:c>
      <x:c r="R223" s="36" t="str"/>
      <x:c r="S223" s="36" t="str"/>
      <x:c r="T223" s="34" t="str"/>
      <x:c r="U223" s="34" t="str"/>
      <x:c r="V223" s="34" t="str">
        <x:v>ELTS Build Plan P7.5</x:v>
      </x:c>
    </x:row>
    <x:row r="224">
      <x:c r="A224" s="10" t="n">
        <x:v>219</x:v>
      </x:c>
      <x:c r="B224" s="10" t="str">
        <x:v>P7.5.V001</x:v>
      </x:c>
      <x:c r="C224" s="10" t="str">
        <x:v>P7.5</x:v>
      </x:c>
      <x:c r="D224" s="10" t="str">
        <x:v>P7</x:v>
      </x:c>
      <x:c r="E224" s="10" t="str">
        <x:v>G7</x:v>
      </x:c>
      <x:c r="F224" s="10" t="str">
        <x:v>WS-C, WS-D, WS-E</x:v>
      </x:c>
      <x:c r="G224" s="10" t="str">
        <x:v>verification</x:v>
      </x:c>
      <x:c r="H224" s="10" t="str">
        <x:v>Verify P7.5 against its completion criteria and attach evidence.</x:v>
      </x:c>
      <x:c r="I224" s="10" t="str">
        <x:v>P7.5.S001</x:v>
      </x:c>
      <x:c r="J224" s="10" t="str"/>
      <x:c r="K224" s="10" t="str">
        <x:v>Acceptance criteria and required evidence are satisfied and recorded.</x:v>
      </x:c>
      <x:c r="L224" s="10" t="str">
        <x:v>Acceptance criteria and required evidence are satisfied and recorded.</x:v>
      </x:c>
      <x:c r="M224" s="10" t="str">
        <x:v>docs/validation/D.4-registration.md</x:v>
      </x:c>
      <x:c r="N224" s="10" t="str">
        <x:v>not_started</x:v>
      </x:c>
      <x:c r="O224" s="10" t="str">
        <x:v>Investigator, developer, and lab operator</x:v>
      </x:c>
      <x:c r="P224" s="10" t="str">
        <x:v>lab_hardware</x:v>
      </x:c>
      <x:c r="Q224" s="10" t="str">
        <x:v>p7/P7.5-registration-accuracy-appendix-d-4</x:v>
      </x:c>
      <x:c r="R224" s="35" t="str"/>
      <x:c r="S224" s="35" t="str"/>
      <x:c r="T224" s="10" t="str"/>
      <x:c r="U224" s="10" t="str"/>
      <x:c r="V224" s="10" t="str">
        <x:v>ELTS Build Plan P7.5</x:v>
      </x:c>
    </x:row>
    <x:row r="225">
      <x:c r="A225" s="34" t="n">
        <x:v>220</x:v>
      </x:c>
      <x:c r="B225" s="34" t="str">
        <x:v>P7.6.S001</x:v>
      </x:c>
      <x:c r="C225" s="34" t="str">
        <x:v>P7.6</x:v>
      </x:c>
      <x:c r="D225" s="34" t="str">
        <x:v>P7</x:v>
      </x:c>
      <x:c r="E225" s="34" t="str">
        <x:v>G7</x:v>
      </x:c>
      <x:c r="F225" s="34" t="str">
        <x:v>WS-C, WS-D, WS-E</x:v>
      </x:c>
      <x:c r="G225" s="34" t="str">
        <x:v>execution</x:v>
      </x:c>
      <x:c r="H225" s="34" t="str">
        <x:v>Full 4-block session with real trackers and the ELTS cycling; zero drops, zero hitches, all files intact.</x:v>
      </x:c>
      <x:c r="I225" s="34" t="str">
        <x:v>P7.1:P7.5</x:v>
      </x:c>
      <x:c r="J225" s="34" t="str"/>
      <x:c r="K225" s="34" t="str">
        <x:v>Acceptance criteria and required evidence are satisfied and recorded.</x:v>
      </x:c>
      <x:c r="L225" s="34" t="str">
        <x:v>Acceptance criteria and required evidence are satisfied and recorded.</x:v>
      </x:c>
      <x:c r="M225" s="34" t="str">
        <x:v>docs/validation/D.6-soak.md</x:v>
      </x:c>
      <x:c r="N225" s="34" t="str">
        <x:v>not_started</x:v>
      </x:c>
      <x:c r="O225" s="34" t="str">
        <x:v>Investigator, developer, and lab operator</x:v>
      </x:c>
      <x:c r="P225" s="34" t="str">
        <x:v>lab_hardware</x:v>
      </x:c>
      <x:c r="Q225" s="34" t="str">
        <x:v>p7/P7.6-logging-and-stability-soak-appendix-d-6</x:v>
      </x:c>
      <x:c r="R225" s="36" t="str"/>
      <x:c r="S225" s="36" t="str"/>
      <x:c r="T225" s="34" t="str"/>
      <x:c r="U225" s="34" t="str"/>
      <x:c r="V225" s="34" t="str">
        <x:v>ELTS Build Plan P7.6</x:v>
      </x:c>
    </x:row>
    <x:row r="226">
      <x:c r="A226" s="10" t="n">
        <x:v>221</x:v>
      </x:c>
      <x:c r="B226" s="10" t="str">
        <x:v>P7.6.V001</x:v>
      </x:c>
      <x:c r="C226" s="10" t="str">
        <x:v>P7.6</x:v>
      </x:c>
      <x:c r="D226" s="10" t="str">
        <x:v>P7</x:v>
      </x:c>
      <x:c r="E226" s="10" t="str">
        <x:v>G7</x:v>
      </x:c>
      <x:c r="F226" s="10" t="str">
        <x:v>WS-C, WS-D, WS-E</x:v>
      </x:c>
      <x:c r="G226" s="10" t="str">
        <x:v>verification</x:v>
      </x:c>
      <x:c r="H226" s="10" t="str">
        <x:v>Verify P7.6 against its completion criteria and attach evidence.</x:v>
      </x:c>
      <x:c r="I226" s="10" t="str">
        <x:v>P7.6.S001</x:v>
      </x:c>
      <x:c r="J226" s="10" t="str"/>
      <x:c r="K226" s="10" t="str">
        <x:v>Acceptance criteria and required evidence are satisfied and recorded.</x:v>
      </x:c>
      <x:c r="L226" s="10" t="str">
        <x:v>Acceptance criteria and required evidence are satisfied and recorded.</x:v>
      </x:c>
      <x:c r="M226" s="10" t="str">
        <x:v>docs/validation/D.6-soak.md</x:v>
      </x:c>
      <x:c r="N226" s="10" t="str">
        <x:v>not_started</x:v>
      </x:c>
      <x:c r="O226" s="10" t="str">
        <x:v>Investigator, developer, and lab operator</x:v>
      </x:c>
      <x:c r="P226" s="10" t="str">
        <x:v>lab_hardware</x:v>
      </x:c>
      <x:c r="Q226" s="10" t="str">
        <x:v>p7/P7.6-logging-and-stability-soak-appendix-d-6</x:v>
      </x:c>
      <x:c r="R226" s="35" t="str"/>
      <x:c r="S226" s="35" t="str"/>
      <x:c r="T226" s="10" t="str"/>
      <x:c r="U226" s="10" t="str"/>
      <x:c r="V226" s="10" t="str">
        <x:v>ELTS Build Plan P7.6</x:v>
      </x:c>
    </x:row>
    <x:row r="227">
      <x:c r="A227" s="34" t="n">
        <x:v>222</x:v>
      </x:c>
      <x:c r="B227" s="34" t="str">
        <x:v>P7.7.S001</x:v>
      </x:c>
      <x:c r="C227" s="34" t="str">
        <x:v>P7.7</x:v>
      </x:c>
      <x:c r="D227" s="34" t="str">
        <x:v>P7</x:v>
      </x:c>
      <x:c r="E227" s="34" t="str">
        <x:v>G7</x:v>
      </x:c>
      <x:c r="F227" s="34" t="str">
        <x:v>WS-C, WS-D, WS-E</x:v>
      </x:c>
      <x:c r="G227" s="34" t="str">
        <x:v>execution</x:v>
      </x:c>
      <x:c r="H227" s="34" t="str">
        <x:v>Trigger-to-log and head-motion-to-photon, for the methods section. Constant across conditions, so not a validity threat.</x:v>
      </x:c>
      <x:c r="I227" s="34" t="str">
        <x:v>P7.1</x:v>
      </x:c>
      <x:c r="J227" s="34" t="str"/>
      <x:c r="K227" s="34" t="str">
        <x:v>Acceptance criteria and required evidence are satisfied and recorded.</x:v>
      </x:c>
      <x:c r="L227" s="34" t="str">
        <x:v>Acceptance criteria and required evidence are satisfied and recorded.</x:v>
      </x:c>
      <x:c r="M227" s="34" t="str">
        <x:v>Code, documentation, test evidence, or lab evidence named in the task</x:v>
      </x:c>
      <x:c r="N227" s="34" t="str">
        <x:v>not_started</x:v>
      </x:c>
      <x:c r="O227" s="34" t="str">
        <x:v>Investigator, developer, and lab operator</x:v>
      </x:c>
      <x:c r="P227" s="34" t="str">
        <x:v>lab_hardware</x:v>
      </x:c>
      <x:c r="Q227" s="34" t="str">
        <x:v>p7/P7.7-latency-characterization-optional-appendix-d-</x:v>
      </x:c>
      <x:c r="R227" s="36" t="str"/>
      <x:c r="S227" s="36" t="str"/>
      <x:c r="T227" s="34" t="str"/>
      <x:c r="U227" s="34" t="str"/>
      <x:c r="V227" s="34" t="str">
        <x:v>ELTS Build Plan P7.7</x:v>
      </x:c>
    </x:row>
    <x:row r="228">
      <x:c r="A228" s="10" t="n">
        <x:v>223</x:v>
      </x:c>
      <x:c r="B228" s="10" t="str">
        <x:v>P7.7.V001</x:v>
      </x:c>
      <x:c r="C228" s="10" t="str">
        <x:v>P7.7</x:v>
      </x:c>
      <x:c r="D228" s="10" t="str">
        <x:v>P7</x:v>
      </x:c>
      <x:c r="E228" s="10" t="str">
        <x:v>G7</x:v>
      </x:c>
      <x:c r="F228" s="10" t="str">
        <x:v>WS-C, WS-D, WS-E</x:v>
      </x:c>
      <x:c r="G228" s="10" t="str">
        <x:v>verification</x:v>
      </x:c>
      <x:c r="H228" s="10" t="str">
        <x:v>Verify P7.7 against its completion criteria and attach evidence.</x:v>
      </x:c>
      <x:c r="I228" s="10" t="str">
        <x:v>P7.7.S001</x:v>
      </x:c>
      <x:c r="J228" s="10" t="str"/>
      <x:c r="K228" s="10" t="str">
        <x:v>Acceptance criteria and required evidence are satisfied and recorded.</x:v>
      </x:c>
      <x:c r="L228" s="10" t="str">
        <x:v>Acceptance criteria and required evidence are satisfied and recorded.</x:v>
      </x:c>
      <x:c r="M228" s="10" t="str">
        <x:v>Code, documentation, test evidence, or lab evidence named in the task</x:v>
      </x:c>
      <x:c r="N228" s="10" t="str">
        <x:v>not_started</x:v>
      </x:c>
      <x:c r="O228" s="10" t="str">
        <x:v>Investigator, developer, and lab operator</x:v>
      </x:c>
      <x:c r="P228" s="10" t="str">
        <x:v>lab_hardware</x:v>
      </x:c>
      <x:c r="Q228" s="10" t="str">
        <x:v>p7/P7.7-latency-characterization-optional-appendix-d-</x:v>
      </x:c>
      <x:c r="R228" s="35" t="str"/>
      <x:c r="S228" s="35" t="str"/>
      <x:c r="T228" s="10" t="str"/>
      <x:c r="U228" s="10" t="str"/>
      <x:c r="V228" s="10" t="str">
        <x:v>ELTS Build Plan P7.7</x:v>
      </x:c>
    </x:row>
    <x:row r="229">
      <x:c r="A229" s="34" t="n">
        <x:v>224</x:v>
      </x:c>
      <x:c r="B229" s="34" t="str">
        <x:v>P7.8.S001</x:v>
      </x:c>
      <x:c r="C229" s="34" t="str">
        <x:v>P7.8</x:v>
      </x:c>
      <x:c r="D229" s="34" t="str">
        <x:v>P7</x:v>
      </x:c>
      <x:c r="E229" s="34" t="str">
        <x:v>G7</x:v>
      </x:c>
      <x:c r="F229" s="34" t="str">
        <x:v>WS-E, WS-F</x:v>
      </x:c>
      <x:c r="G229" s="34" t="str">
        <x:v>decision</x:v>
      </x:c>
      <x:c r="H229" s="34" t="str">
        <x:v>Close D-13 and D-14; confirm the max on-time guard (P6.8) matches the sheet; confirm the E-stop is labeled and reachable from the operator station.</x:v>
      </x:c>
      <x:c r="I229" s="34" t="str">
        <x:v>P6.8, D-13, D-14</x:v>
      </x:c>
      <x:c r="J229" s="34" t="str">
        <x:v>D-13, D-14</x:v>
      </x:c>
      <x:c r="K229" s="34" t="str">
        <x:v>Acceptance criteria and required evidence are satisfied and recorded.</x:v>
      </x:c>
      <x:c r="L229" s="34" t="str">
        <x:v>Acceptance criteria and required evidence are satisfied and recorded.</x:v>
      </x:c>
      <x:c r="M229" s="34" t="str">
        <x:v>docs/safety/</x:v>
      </x:c>
      <x:c r="N229" s="34" t="str">
        <x:v>not_started</x:v>
      </x:c>
      <x:c r="O229" s="34" t="str">
        <x:v>Investigator, developer, and lab operator</x:v>
      </x:c>
      <x:c r="P229" s="34" t="str">
        <x:v>lab_hardware</x:v>
      </x:c>
      <x:c r="Q229" s="34" t="str">
        <x:v>p7/P7.8-safety-sheet-completion</x:v>
      </x:c>
      <x:c r="R229" s="36" t="str"/>
      <x:c r="S229" s="36" t="str"/>
      <x:c r="T229" s="34" t="str"/>
      <x:c r="U229" s="34" t="str"/>
      <x:c r="V229" s="34" t="str">
        <x:v>ELTS Build Plan P7.8</x:v>
      </x:c>
    </x:row>
    <x:row r="230">
      <x:c r="A230" s="10" t="n">
        <x:v>225</x:v>
      </x:c>
      <x:c r="B230" s="10" t="str">
        <x:v>P7.8.V001</x:v>
      </x:c>
      <x:c r="C230" s="10" t="str">
        <x:v>P7.8</x:v>
      </x:c>
      <x:c r="D230" s="10" t="str">
        <x:v>P7</x:v>
      </x:c>
      <x:c r="E230" s="10" t="str">
        <x:v>G7</x:v>
      </x:c>
      <x:c r="F230" s="10" t="str">
        <x:v>WS-E, WS-F</x:v>
      </x:c>
      <x:c r="G230" s="10" t="str">
        <x:v>verification</x:v>
      </x:c>
      <x:c r="H230" s="10" t="str">
        <x:v>Verify P7.8 against its completion criteria and attach evidence.</x:v>
      </x:c>
      <x:c r="I230" s="10" t="str">
        <x:v>P7.8.S001</x:v>
      </x:c>
      <x:c r="J230" s="10" t="str">
        <x:v>D-13, D-14</x:v>
      </x:c>
      <x:c r="K230" s="10" t="str">
        <x:v>Acceptance criteria and required evidence are satisfied and recorded.</x:v>
      </x:c>
      <x:c r="L230" s="10" t="str">
        <x:v>Acceptance criteria and required evidence are satisfied and recorded.</x:v>
      </x:c>
      <x:c r="M230" s="10" t="str">
        <x:v>docs/safety/</x:v>
      </x:c>
      <x:c r="N230" s="10" t="str">
        <x:v>not_started</x:v>
      </x:c>
      <x:c r="O230" s="10" t="str">
        <x:v>Investigator, developer, and lab operator</x:v>
      </x:c>
      <x:c r="P230" s="10" t="str">
        <x:v>lab_hardware</x:v>
      </x:c>
      <x:c r="Q230" s="10" t="str">
        <x:v>p7/P7.8-safety-sheet-completion</x:v>
      </x:c>
      <x:c r="R230" s="35" t="str"/>
      <x:c r="S230" s="35" t="str"/>
      <x:c r="T230" s="10" t="str"/>
      <x:c r="U230" s="10" t="str"/>
      <x:c r="V230" s="10" t="str">
        <x:v>ELTS Build Plan P7.8</x:v>
      </x:c>
    </x:row>
    <x:row r="231">
      <x:c r="A231" s="34" t="n">
        <x:v>226</x:v>
      </x:c>
      <x:c r="B231" s="34" t="str">
        <x:v>P7.9.S001</x:v>
      </x:c>
      <x:c r="C231" s="34" t="str">
        <x:v>P7.9</x:v>
      </x:c>
      <x:c r="D231" s="34" t="str">
        <x:v>P7</x:v>
      </x:c>
      <x:c r="E231" s="34" t="str">
        <x:v>G7</x:v>
      </x:c>
      <x:c r="F231" s="34" t="str">
        <x:v>WS-C, WS-D, WS-E</x:v>
      </x:c>
      <x:c r="G231" s="34" t="str">
        <x:v>documentation</x:v>
      </x:c>
      <x:c r="H231" s="34" t="str">
        <x:v>Replace every "provisional" threshold with the value chosen from P7.2–P7.5 results; record in docs/thresholds.md; do not change again during data collection.</x:v>
      </x:c>
      <x:c r="I231" s="34" t="str">
        <x:v>P7.2:P7.5, D-17</x:v>
      </x:c>
      <x:c r="J231" s="34" t="str">
        <x:v>D-17</x:v>
      </x:c>
      <x:c r="K231" s="34" t="str">
        <x:v>Acceptance criteria and required evidence are satisfied and recorded.</x:v>
      </x:c>
      <x:c r="L231" s="34" t="str">
        <x:v>Acceptance criteria and required evidence are satisfied and recorded.</x:v>
      </x:c>
      <x:c r="M231" s="34" t="str">
        <x:v>docs/thresholds.md</x:v>
      </x:c>
      <x:c r="N231" s="34" t="str">
        <x:v>not_started</x:v>
      </x:c>
      <x:c r="O231" s="34" t="str">
        <x:v>Investigator, developer, and lab operator</x:v>
      </x:c>
      <x:c r="P231" s="34" t="str">
        <x:v>lab_hardware</x:v>
      </x:c>
      <x:c r="Q231" s="34" t="str">
        <x:v>p7/P7.9-freeze-thresholds-d-17</x:v>
      </x:c>
      <x:c r="R231" s="36" t="str"/>
      <x:c r="S231" s="36" t="str"/>
      <x:c r="T231" s="34" t="str"/>
      <x:c r="U231" s="34" t="str"/>
      <x:c r="V231" s="34" t="str">
        <x:v>ELTS Build Plan P7.9</x:v>
      </x:c>
    </x:row>
    <x:row r="232">
      <x:c r="A232" s="10" t="n">
        <x:v>227</x:v>
      </x:c>
      <x:c r="B232" s="10" t="str">
        <x:v>P7.9.V001</x:v>
      </x:c>
      <x:c r="C232" s="10" t="str">
        <x:v>P7.9</x:v>
      </x:c>
      <x:c r="D232" s="10" t="str">
        <x:v>P7</x:v>
      </x:c>
      <x:c r="E232" s="10" t="str">
        <x:v>G7</x:v>
      </x:c>
      <x:c r="F232" s="10" t="str">
        <x:v>WS-C, WS-D, WS-E</x:v>
      </x:c>
      <x:c r="G232" s="10" t="str">
        <x:v>verification</x:v>
      </x:c>
      <x:c r="H232" s="10" t="str">
        <x:v>Verify P7.9 against its completion criteria and attach evidence.</x:v>
      </x:c>
      <x:c r="I232" s="10" t="str">
        <x:v>P7.9.S001</x:v>
      </x:c>
      <x:c r="J232" s="10" t="str">
        <x:v>D-17</x:v>
      </x:c>
      <x:c r="K232" s="10" t="str">
        <x:v>Acceptance criteria and required evidence are satisfied and recorded.</x:v>
      </x:c>
      <x:c r="L232" s="10" t="str">
        <x:v>Acceptance criteria and required evidence are satisfied and recorded.</x:v>
      </x:c>
      <x:c r="M232" s="10" t="str">
        <x:v>docs/thresholds.md</x:v>
      </x:c>
      <x:c r="N232" s="10" t="str">
        <x:v>not_started</x:v>
      </x:c>
      <x:c r="O232" s="10" t="str">
        <x:v>Investigator, developer, and lab operator</x:v>
      </x:c>
      <x:c r="P232" s="10" t="str">
        <x:v>lab_hardware</x:v>
      </x:c>
      <x:c r="Q232" s="10" t="str">
        <x:v>p7/P7.9-freeze-thresholds-d-17</x:v>
      </x:c>
      <x:c r="R232" s="35" t="str"/>
      <x:c r="S232" s="35" t="str"/>
      <x:c r="T232" s="10" t="str"/>
      <x:c r="U232" s="10" t="str"/>
      <x:c r="V232" s="10" t="str">
        <x:v>ELTS Build Plan P7.9</x:v>
      </x:c>
    </x:row>
    <x:row r="233">
      <x:c r="A233" s="34" t="n">
        <x:v>228</x:v>
      </x:c>
      <x:c r="B233" s="34" t="str">
        <x:v>P8.1.S001</x:v>
      </x:c>
      <x:c r="C233" s="34" t="str">
        <x:v>P8.1</x:v>
      </x:c>
      <x:c r="D233" s="34" t="str">
        <x:v>P8</x:v>
      </x:c>
      <x:c r="E233" s="34" t="str">
        <x:v>G8</x:v>
      </x:c>
      <x:c r="F233" s="34" t="str">
        <x:v>WS-E, WS-F</x:v>
      </x:c>
      <x:c r="G233" s="34" t="str">
        <x:v>decision</x:v>
      </x:c>
      <x:c r="H233" s="34" t="str">
        <x:v>D-04 through D-08 entered into the data files; a lab member plays each condition and the investigators sign off that the task behaves as intended.</x:v>
      </x:c>
      <x:c r="I233" s="34" t="str">
        <x:v>G7, D-04, D-05, D-06, D-07, D-08, D-16</x:v>
      </x:c>
      <x:c r="J233" s="34" t="str">
        <x:v>D-04, D-08</x:v>
      </x:c>
      <x:c r="K233" s="34" t="str">
        <x:v>Acceptance criteria and required evidence are satisfied and recorded.</x:v>
      </x:c>
      <x:c r="L233" s="34" t="str">
        <x:v>Acceptance criteria and required evidence are satisfied and recorded.</x:v>
      </x:c>
      <x:c r="M233" s="34" t="str">
        <x:v>Code, documentation, test evidence, or lab evidence named in the task</x:v>
      </x:c>
      <x:c r="N233" s="34" t="str">
        <x:v>not_started</x:v>
      </x:c>
      <x:c r="O233" s="34" t="str">
        <x:v>Investigator, developer, and lab operator</x:v>
      </x:c>
      <x:c r="P233" s="34" t="str">
        <x:v>mixed</x:v>
      </x:c>
      <x:c r="Q233" s="34" t="str">
        <x:v>p8/P8.1-scenario-and-session-parameters-finalized</x:v>
      </x:c>
      <x:c r="R233" s="36" t="str"/>
      <x:c r="S233" s="36" t="str"/>
      <x:c r="T233" s="34" t="str"/>
      <x:c r="U233" s="34" t="str"/>
      <x:c r="V233" s="34" t="str">
        <x:v>ELTS Build Plan P8.1</x:v>
      </x:c>
    </x:row>
    <x:row r="234">
      <x:c r="A234" s="10" t="n">
        <x:v>229</x:v>
      </x:c>
      <x:c r="B234" s="10" t="str">
        <x:v>P8.1.V001</x:v>
      </x:c>
      <x:c r="C234" s="10" t="str">
        <x:v>P8.1</x:v>
      </x:c>
      <x:c r="D234" s="10" t="str">
        <x:v>P8</x:v>
      </x:c>
      <x:c r="E234" s="10" t="str">
        <x:v>G8</x:v>
      </x:c>
      <x:c r="F234" s="10" t="str">
        <x:v>WS-E, WS-F</x:v>
      </x:c>
      <x:c r="G234" s="10" t="str">
        <x:v>verification</x:v>
      </x:c>
      <x:c r="H234" s="10" t="str">
        <x:v>Verify P8.1 against its completion criteria and attach evidence.</x:v>
      </x:c>
      <x:c r="I234" s="10" t="str">
        <x:v>P8.1.S001</x:v>
      </x:c>
      <x:c r="J234" s="10" t="str">
        <x:v>D-04, D-08</x:v>
      </x:c>
      <x:c r="K234" s="10" t="str">
        <x:v>Acceptance criteria and required evidence are satisfied and recorded.</x:v>
      </x:c>
      <x:c r="L234" s="10" t="str">
        <x:v>Acceptance criteria and required evidence are satisfied and recorded.</x:v>
      </x:c>
      <x:c r="M234" s="10" t="str">
        <x:v>Code, documentation, test evidence, or lab evidence named in the task</x:v>
      </x:c>
      <x:c r="N234" s="10" t="str">
        <x:v>not_started</x:v>
      </x:c>
      <x:c r="O234" s="10" t="str">
        <x:v>Investigator, developer, and lab operator</x:v>
      </x:c>
      <x:c r="P234" s="10" t="str">
        <x:v>mixed</x:v>
      </x:c>
      <x:c r="Q234" s="10" t="str">
        <x:v>p8/P8.1-scenario-and-session-parameters-finalized</x:v>
      </x:c>
      <x:c r="R234" s="35" t="str"/>
      <x:c r="S234" s="35" t="str"/>
      <x:c r="T234" s="10" t="str"/>
      <x:c r="U234" s="10" t="str"/>
      <x:c r="V234" s="10" t="str">
        <x:v>ELTS Build Plan P8.1</x:v>
      </x:c>
    </x:row>
    <x:row r="235">
      <x:c r="A235" s="34" t="n">
        <x:v>230</x:v>
      </x:c>
      <x:c r="B235" s="34" t="str">
        <x:v>P8.2.S001</x:v>
      </x:c>
      <x:c r="C235" s="34" t="str">
        <x:v>P8.2</x:v>
      </x:c>
      <x:c r="D235" s="34" t="str">
        <x:v>P8</x:v>
      </x:c>
      <x:c r="E235" s="34" t="str">
        <x:v>G8</x:v>
      </x:c>
      <x:c r="F235" s="34" t="str">
        <x:v>WS-E, WS-F</x:v>
      </x:c>
      <x:c r="G235" s="34" t="str">
        <x:v>verification</x:v>
      </x:c>
      <x:c r="H235" s="34" t="str">
        <x:v>Daily rig check (Appendix C.6), pre-session checklist, session runbook mapping the briefing §3.3 timeline to application states, post-session checklist (backup, notes, equipment stowage), troubleshooting (tracker dropout, link lost, display swap, restart-from-abort). All in Appendix E, finalized here.</x:v>
      </x:c>
      <x:c r="I235" s="34" t="str">
        <x:v>G7</x:v>
      </x:c>
      <x:c r="J235" s="34" t="str"/>
      <x:c r="K235" s="34" t="str">
        <x:v>Acceptance criteria and required evidence are satisfied and recorded.</x:v>
      </x:c>
      <x:c r="L235" s="34" t="str">
        <x:v>Acceptance criteria and required evidence are satisfied and recorded.</x:v>
      </x:c>
      <x:c r="M235" s="34" t="str">
        <x:v>docs/operator/</x:v>
      </x:c>
      <x:c r="N235" s="34" t="str">
        <x:v>not_started</x:v>
      </x:c>
      <x:c r="O235" s="34" t="str">
        <x:v>Investigator, developer, and lab operator</x:v>
      </x:c>
      <x:c r="P235" s="34" t="str">
        <x:v>mixed</x:v>
      </x:c>
      <x:c r="Q235" s="34" t="str">
        <x:v>p8/P8.2-operator-documentation</x:v>
      </x:c>
      <x:c r="R235" s="36" t="str"/>
      <x:c r="S235" s="36" t="str"/>
      <x:c r="T235" s="34" t="str"/>
      <x:c r="U235" s="34" t="str"/>
      <x:c r="V235" s="34" t="str">
        <x:v>ELTS Build Plan P8.2</x:v>
      </x:c>
    </x:row>
    <x:row r="236">
      <x:c r="A236" s="10" t="n">
        <x:v>231</x:v>
      </x:c>
      <x:c r="B236" s="10" t="str">
        <x:v>P8.2.V001</x:v>
      </x:c>
      <x:c r="C236" s="10" t="str">
        <x:v>P8.2</x:v>
      </x:c>
      <x:c r="D236" s="10" t="str">
        <x:v>P8</x:v>
      </x:c>
      <x:c r="E236" s="10" t="str">
        <x:v>G8</x:v>
      </x:c>
      <x:c r="F236" s="10" t="str">
        <x:v>WS-E, WS-F</x:v>
      </x:c>
      <x:c r="G236" s="10" t="str">
        <x:v>verification</x:v>
      </x:c>
      <x:c r="H236" s="10" t="str">
        <x:v>Verify P8.2 against its completion criteria and attach evidence.</x:v>
      </x:c>
      <x:c r="I236" s="10" t="str">
        <x:v>P8.2.S001</x:v>
      </x:c>
      <x:c r="J236" s="10" t="str"/>
      <x:c r="K236" s="10" t="str">
        <x:v>Acceptance criteria and required evidence are satisfied and recorded.</x:v>
      </x:c>
      <x:c r="L236" s="10" t="str">
        <x:v>Acceptance criteria and required evidence are satisfied and recorded.</x:v>
      </x:c>
      <x:c r="M236" s="10" t="str">
        <x:v>docs/operator/</x:v>
      </x:c>
      <x:c r="N236" s="10" t="str">
        <x:v>not_started</x:v>
      </x:c>
      <x:c r="O236" s="10" t="str">
        <x:v>Investigator, developer, and lab operator</x:v>
      </x:c>
      <x:c r="P236" s="10" t="str">
        <x:v>mixed</x:v>
      </x:c>
      <x:c r="Q236" s="10" t="str">
        <x:v>p8/P8.2-operator-documentation</x:v>
      </x:c>
      <x:c r="R236" s="35" t="str"/>
      <x:c r="S236" s="35" t="str"/>
      <x:c r="T236" s="10" t="str"/>
      <x:c r="U236" s="10" t="str"/>
      <x:c r="V236" s="10" t="str">
        <x:v>ELTS Build Plan P8.2</x:v>
      </x:c>
    </x:row>
    <x:row r="237">
      <x:c r="A237" s="34" t="n">
        <x:v>232</x:v>
      </x:c>
      <x:c r="B237" s="34" t="str">
        <x:v>P8.3.S001</x:v>
      </x:c>
      <x:c r="C237" s="34" t="str">
        <x:v>P8.3</x:v>
      </x:c>
      <x:c r="D237" s="34" t="str">
        <x:v>P8</x:v>
      </x:c>
      <x:c r="E237" s="34" t="str">
        <x:v>G8</x:v>
      </x:c>
      <x:c r="F237" s="34" t="str">
        <x:v>WS-E, WS-F</x:v>
      </x:c>
      <x:c r="G237" s="34" t="str">
        <x:v>verification</x:v>
      </x:c>
      <x:c r="H237" s="34" t="str">
        <x:v>Participant folders named by de-identified ID only; no names anywhere in logs; nightly copy of data/ to the lab's secure storage; a checksum manifest per session; retention per the IRB protocol.</x:v>
      </x:c>
      <x:c r="I237" s="34" t="str">
        <x:v>G7</x:v>
      </x:c>
      <x:c r="J237" s="34" t="str"/>
      <x:c r="K237" s="34" t="str">
        <x:v>Acceptance criteria and required evidence are satisfied and recorded.</x:v>
      </x:c>
      <x:c r="L237" s="34" t="str">
        <x:v>Acceptance criteria and required evidence are satisfied and recorded.</x:v>
      </x:c>
      <x:c r="M237" s="34" t="str">
        <x:v>docs/DATA-GOVERNANCE.md</x:v>
      </x:c>
      <x:c r="N237" s="34" t="str">
        <x:v>not_started</x:v>
      </x:c>
      <x:c r="O237" s="34" t="str">
        <x:v>Investigator, developer, and lab operator</x:v>
      </x:c>
      <x:c r="P237" s="34" t="str">
        <x:v>mixed</x:v>
      </x:c>
      <x:c r="Q237" s="34" t="str">
        <x:v>p8/P8.3-data-handling</x:v>
      </x:c>
      <x:c r="R237" s="36" t="str"/>
      <x:c r="S237" s="36" t="str"/>
      <x:c r="T237" s="34" t="str"/>
      <x:c r="U237" s="34" t="str"/>
      <x:c r="V237" s="34" t="str">
        <x:v>ELTS Build Plan P8.3</x:v>
      </x:c>
    </x:row>
    <x:row r="238">
      <x:c r="A238" s="10" t="n">
        <x:v>233</x:v>
      </x:c>
      <x:c r="B238" s="10" t="str">
        <x:v>P8.3.V001</x:v>
      </x:c>
      <x:c r="C238" s="10" t="str">
        <x:v>P8.3</x:v>
      </x:c>
      <x:c r="D238" s="10" t="str">
        <x:v>P8</x:v>
      </x:c>
      <x:c r="E238" s="10" t="str">
        <x:v>G8</x:v>
      </x:c>
      <x:c r="F238" s="10" t="str">
        <x:v>WS-E, WS-F</x:v>
      </x:c>
      <x:c r="G238" s="10" t="str">
        <x:v>verification</x:v>
      </x:c>
      <x:c r="H238" s="10" t="str">
        <x:v>Verify P8.3 against its completion criteria and attach evidence.</x:v>
      </x:c>
      <x:c r="I238" s="10" t="str">
        <x:v>P8.3.S001</x:v>
      </x:c>
      <x:c r="J238" s="10" t="str"/>
      <x:c r="K238" s="10" t="str">
        <x:v>Acceptance criteria and required evidence are satisfied and recorded.</x:v>
      </x:c>
      <x:c r="L238" s="10" t="str">
        <x:v>Acceptance criteria and required evidence are satisfied and recorded.</x:v>
      </x:c>
      <x:c r="M238" s="10" t="str">
        <x:v>docs/DATA-GOVERNANCE.md</x:v>
      </x:c>
      <x:c r="N238" s="10" t="str">
        <x:v>not_started</x:v>
      </x:c>
      <x:c r="O238" s="10" t="str">
        <x:v>Investigator, developer, and lab operator</x:v>
      </x:c>
      <x:c r="P238" s="10" t="str">
        <x:v>mixed</x:v>
      </x:c>
      <x:c r="Q238" s="10" t="str">
        <x:v>p8/P8.3-data-handling</x:v>
      </x:c>
      <x:c r="R238" s="35" t="str"/>
      <x:c r="S238" s="35" t="str"/>
      <x:c r="T238" s="10" t="str"/>
      <x:c r="U238" s="10" t="str"/>
      <x:c r="V238" s="10" t="str">
        <x:v>ELTS Build Plan P8.3</x:v>
      </x:c>
    </x:row>
    <x:row r="239">
      <x:c r="A239" s="34" t="n">
        <x:v>234</x:v>
      </x:c>
      <x:c r="B239" s="34" t="str">
        <x:v>P8.4.S001</x:v>
      </x:c>
      <x:c r="C239" s="34" t="str">
        <x:v>P8.4</x:v>
      </x:c>
      <x:c r="D239" s="34" t="str">
        <x:v>P8</x:v>
      </x:c>
      <x:c r="E239" s="34" t="str">
        <x:v>G8</x:v>
      </x:c>
      <x:c r="F239" s="34" t="str">
        <x:v>WS-E, WS-F</x:v>
      </x:c>
      <x:c r="G239" s="34" t="str">
        <x:v>verification</x:v>
      </x:c>
      <x:c r="H239" s="34" t="str">
        <x:v>With the collaborators' eye tracker, HRV, and IMU recording, run one session and use the SyncMarker events (and whatever physical sync D-12 specifies) to align all streams offline. Confirm each collaborator can locate block boundaries in their own data.</x:v>
      </x:c>
      <x:c r="I239" s="34" t="str">
        <x:v>D-12</x:v>
      </x:c>
      <x:c r="J239" s="34" t="str">
        <x:v>D-12</x:v>
      </x:c>
      <x:c r="K239" s="34" t="str">
        <x:v>Acceptance criteria and required evidence are satisfied and recorded.</x:v>
      </x:c>
      <x:c r="L239" s="34" t="str">
        <x:v>Acceptance criteria and required evidence are satisfied and recorded.</x:v>
      </x:c>
      <x:c r="M239" s="34" t="str">
        <x:v>docs/validation/cross-device-sync.md</x:v>
      </x:c>
      <x:c r="N239" s="34" t="str">
        <x:v>not_started</x:v>
      </x:c>
      <x:c r="O239" s="34" t="str">
        <x:v>Investigator, developer, and lab operator</x:v>
      </x:c>
      <x:c r="P239" s="34" t="str">
        <x:v>mixed</x:v>
      </x:c>
      <x:c r="Q239" s="34" t="str">
        <x:v>p8/P8.4-cross-device-sync-rehearsal-d-12</x:v>
      </x:c>
      <x:c r="R239" s="36" t="str"/>
      <x:c r="S239" s="36" t="str"/>
      <x:c r="T239" s="34" t="str"/>
      <x:c r="U239" s="34" t="str"/>
      <x:c r="V239" s="34" t="str">
        <x:v>ELTS Build Plan P8.4</x:v>
      </x:c>
    </x:row>
    <x:row r="240">
      <x:c r="A240" s="10" t="n">
        <x:v>235</x:v>
      </x:c>
      <x:c r="B240" s="10" t="str">
        <x:v>P8.4.V001</x:v>
      </x:c>
      <x:c r="C240" s="10" t="str">
        <x:v>P8.4</x:v>
      </x:c>
      <x:c r="D240" s="10" t="str">
        <x:v>P8</x:v>
      </x:c>
      <x:c r="E240" s="10" t="str">
        <x:v>G8</x:v>
      </x:c>
      <x:c r="F240" s="10" t="str">
        <x:v>WS-E, WS-F</x:v>
      </x:c>
      <x:c r="G240" s="10" t="str">
        <x:v>verification</x:v>
      </x:c>
      <x:c r="H240" s="10" t="str">
        <x:v>Verify P8.4 against its completion criteria and attach evidence.</x:v>
      </x:c>
      <x:c r="I240" s="10" t="str">
        <x:v>P8.4.S001</x:v>
      </x:c>
      <x:c r="J240" s="10" t="str">
        <x:v>D-12</x:v>
      </x:c>
      <x:c r="K240" s="10" t="str">
        <x:v>Acceptance criteria and required evidence are satisfied and recorded.</x:v>
      </x:c>
      <x:c r="L240" s="10" t="str">
        <x:v>Acceptance criteria and required evidence are satisfied and recorded.</x:v>
      </x:c>
      <x:c r="M240" s="10" t="str">
        <x:v>docs/validation/cross-device-sync.md</x:v>
      </x:c>
      <x:c r="N240" s="10" t="str">
        <x:v>not_started</x:v>
      </x:c>
      <x:c r="O240" s="10" t="str">
        <x:v>Investigator, developer, and lab operator</x:v>
      </x:c>
      <x:c r="P240" s="10" t="str">
        <x:v>mixed</x:v>
      </x:c>
      <x:c r="Q240" s="10" t="str">
        <x:v>p8/P8.4-cross-device-sync-rehearsal-d-12</x:v>
      </x:c>
      <x:c r="R240" s="35" t="str"/>
      <x:c r="S240" s="35" t="str"/>
      <x:c r="T240" s="10" t="str"/>
      <x:c r="U240" s="10" t="str"/>
      <x:c r="V240" s="10" t="str">
        <x:v>ELTS Build Plan P8.4</x:v>
      </x:c>
    </x:row>
    <x:row r="241">
      <x:c r="A241" s="34" t="n">
        <x:v>236</x:v>
      </x:c>
      <x:c r="B241" s="34" t="str">
        <x:v>P8.5.S001</x:v>
      </x:c>
      <x:c r="C241" s="34" t="str">
        <x:v>P8.5</x:v>
      </x:c>
      <x:c r="D241" s="34" t="str">
        <x:v>P8</x:v>
      </x:c>
      <x:c r="E241" s="34" t="str">
        <x:v>G8</x:v>
      </x:c>
      <x:c r="F241" s="34" t="str">
        <x:v>WS-E, WS-F</x:v>
      </x:c>
      <x:c r="G241" s="34" t="str">
        <x:v>implementation</x:v>
      </x:c>
      <x:c r="H241" s="34" t="str">
        <x:v>At least three complete sessions with lab members as pseudo-participants, run by the person who will actually operate the study, following the runbook, with the developer observing but not touching. Fix what breaks; re-run until three consecutive sessions need no intervention.</x:v>
      </x:c>
      <x:c r="I241" s="34" t="str">
        <x:v>P8.1:P8.4</x:v>
      </x:c>
      <x:c r="J241" s="34" t="str"/>
      <x:c r="K241" s="34" t="str">
        <x:v>Acceptance criteria and required evidence are satisfied and recorded.</x:v>
      </x:c>
      <x:c r="L241" s="34" t="str">
        <x:v>Acceptance criteria and required evidence are satisfied and recorded.</x:v>
      </x:c>
      <x:c r="M241" s="34" t="str">
        <x:v>pilot summaries</x:v>
      </x:c>
      <x:c r="N241" s="34" t="str">
        <x:v>not_started</x:v>
      </x:c>
      <x:c r="O241" s="34" t="str">
        <x:v>Investigator, developer, and lab operator</x:v>
      </x:c>
      <x:c r="P241" s="34" t="str">
        <x:v>mixed</x:v>
      </x:c>
      <x:c r="Q241" s="34" t="str">
        <x:v>p8/P8.5-pilot-sessions</x:v>
      </x:c>
      <x:c r="R241" s="36" t="str"/>
      <x:c r="S241" s="36" t="str"/>
      <x:c r="T241" s="34" t="str"/>
      <x:c r="U241" s="34" t="str"/>
      <x:c r="V241" s="34" t="str">
        <x:v>ELTS Build Plan P8.5</x:v>
      </x:c>
    </x:row>
    <x:row r="242">
      <x:c r="A242" s="10" t="n">
        <x:v>237</x:v>
      </x:c>
      <x:c r="B242" s="10" t="str">
        <x:v>P8.5.V001</x:v>
      </x:c>
      <x:c r="C242" s="10" t="str">
        <x:v>P8.5</x:v>
      </x:c>
      <x:c r="D242" s="10" t="str">
        <x:v>P8</x:v>
      </x:c>
      <x:c r="E242" s="10" t="str">
        <x:v>G8</x:v>
      </x:c>
      <x:c r="F242" s="10" t="str">
        <x:v>WS-E, WS-F</x:v>
      </x:c>
      <x:c r="G242" s="10" t="str">
        <x:v>verification</x:v>
      </x:c>
      <x:c r="H242" s="10" t="str">
        <x:v>Verify P8.5 against its completion criteria and attach evidence.</x:v>
      </x:c>
      <x:c r="I242" s="10" t="str">
        <x:v>P8.5.S001</x:v>
      </x:c>
      <x:c r="J242" s="10" t="str"/>
      <x:c r="K242" s="10" t="str">
        <x:v>Acceptance criteria and required evidence are satisfied and recorded.</x:v>
      </x:c>
      <x:c r="L242" s="10" t="str">
        <x:v>Acceptance criteria and required evidence are satisfied and recorded.</x:v>
      </x:c>
      <x:c r="M242" s="10" t="str">
        <x:v>pilot summaries</x:v>
      </x:c>
      <x:c r="N242" s="10" t="str">
        <x:v>not_started</x:v>
      </x:c>
      <x:c r="O242" s="10" t="str">
        <x:v>Investigator, developer, and lab operator</x:v>
      </x:c>
      <x:c r="P242" s="10" t="str">
        <x:v>mixed</x:v>
      </x:c>
      <x:c r="Q242" s="10" t="str">
        <x:v>p8/P8.5-pilot-sessions</x:v>
      </x:c>
      <x:c r="R242" s="35" t="str"/>
      <x:c r="S242" s="35" t="str"/>
      <x:c r="T242" s="10" t="str"/>
      <x:c r="U242" s="10" t="str"/>
      <x:c r="V242" s="10" t="str">
        <x:v>ELTS Build Plan P8.5</x:v>
      </x:c>
    </x:row>
    <x:row r="243">
      <x:c r="A243" s="34" t="n">
        <x:v>238</x:v>
      </x:c>
      <x:c r="B243" s="34" t="str">
        <x:v>P8.6.S001</x:v>
      </x:c>
      <x:c r="C243" s="34" t="str">
        <x:v>P8.6</x:v>
      </x:c>
      <x:c r="D243" s="34" t="str">
        <x:v>P8</x:v>
      </x:c>
      <x:c r="E243" s="34" t="str">
        <x:v>G8</x:v>
      </x:c>
      <x:c r="F243" s="34" t="str">
        <x:v>WS-E, WS-F</x:v>
      </x:c>
      <x:c r="G243" s="34" t="str">
        <x:v>verification</x:v>
      </x:c>
      <x:c r="H243" s="34" t="str">
        <x:v>ingest.py (extended as needed) processes all pilot data into the block-level table the statistical analysis will use: participant, order position, condition, targets destroyed, valid-sample fraction, mean/median aim error (valid samples only), shots, hits. Hand-check one block against the raw events.</x:v>
      </x:c>
      <x:c r="I243" s="34" t="str">
        <x:v>P8.5</x:v>
      </x:c>
      <x:c r="J243" s="34" t="str"/>
      <x:c r="K243" s="34" t="str">
        <x:v>Acceptance criteria and required evidence are satisfied and recorded.</x:v>
      </x:c>
      <x:c r="L243" s="34" t="str">
        <x:v>Acceptance criteria and required evidence are satisfied and recorded.</x:v>
      </x:c>
      <x:c r="M243" s="34" t="str">
        <x:v>analysis block-level output</x:v>
      </x:c>
      <x:c r="N243" s="34" t="str">
        <x:v>not_started</x:v>
      </x:c>
      <x:c r="O243" s="34" t="str">
        <x:v>Investigator, developer, and lab operator</x:v>
      </x:c>
      <x:c r="P243" s="34" t="str">
        <x:v>agent</x:v>
      </x:c>
      <x:c r="Q243" s="34" t="str">
        <x:v>p8/P8.6-analysis-dry-run</x:v>
      </x:c>
      <x:c r="R243" s="36" t="str"/>
      <x:c r="S243" s="36" t="str"/>
      <x:c r="T243" s="34" t="str"/>
      <x:c r="U243" s="34" t="str"/>
      <x:c r="V243" s="34" t="str">
        <x:v>ELTS Build Plan P8.6</x:v>
      </x:c>
    </x:row>
    <x:row r="244">
      <x:c r="A244" s="10" t="n">
        <x:v>239</x:v>
      </x:c>
      <x:c r="B244" s="10" t="str">
        <x:v>P8.6.V001</x:v>
      </x:c>
      <x:c r="C244" s="10" t="str">
        <x:v>P8.6</x:v>
      </x:c>
      <x:c r="D244" s="10" t="str">
        <x:v>P8</x:v>
      </x:c>
      <x:c r="E244" s="10" t="str">
        <x:v>G8</x:v>
      </x:c>
      <x:c r="F244" s="10" t="str">
        <x:v>WS-E, WS-F</x:v>
      </x:c>
      <x:c r="G244" s="10" t="str">
        <x:v>verification</x:v>
      </x:c>
      <x:c r="H244" s="10" t="str">
        <x:v>Verify P8.6 against its completion criteria and attach evidence.</x:v>
      </x:c>
      <x:c r="I244" s="10" t="str">
        <x:v>P8.6.S001</x:v>
      </x:c>
      <x:c r="J244" s="10" t="str"/>
      <x:c r="K244" s="10" t="str">
        <x:v>Acceptance criteria and required evidence are satisfied and recorded.</x:v>
      </x:c>
      <x:c r="L244" s="10" t="str">
        <x:v>Acceptance criteria and required evidence are satisfied and recorded.</x:v>
      </x:c>
      <x:c r="M244" s="10" t="str">
        <x:v>analysis block-level output</x:v>
      </x:c>
      <x:c r="N244" s="10" t="str">
        <x:v>not_started</x:v>
      </x:c>
      <x:c r="O244" s="10" t="str">
        <x:v>Investigator, developer, and lab operator</x:v>
      </x:c>
      <x:c r="P244" s="10" t="str">
        <x:v>automated_check</x:v>
      </x:c>
      <x:c r="Q244" s="10" t="str">
        <x:v>p8/P8.6-analysis-dry-run</x:v>
      </x:c>
      <x:c r="R244" s="35" t="str"/>
      <x:c r="S244" s="35" t="str"/>
      <x:c r="T244" s="10" t="str"/>
      <x:c r="U244" s="10" t="str"/>
      <x:c r="V244" s="10" t="str">
        <x:v>ELTS Build Plan P8.6</x:v>
      </x:c>
    </x:row>
    <x:row r="245">
      <x:c r="A245" s="34" t="n">
        <x:v>240</x:v>
      </x:c>
      <x:c r="B245" s="34" t="str">
        <x:v>P8.7.S001</x:v>
      </x:c>
      <x:c r="C245" s="34" t="str">
        <x:v>P8.7</x:v>
      </x:c>
      <x:c r="D245" s="34" t="str">
        <x:v>P8</x:v>
      </x:c>
      <x:c r="E245" s="34" t="str">
        <x:v>G8</x:v>
      </x:c>
      <x:c r="F245" s="34" t="str">
        <x:v>WS-C, WS-F</x:v>
      </x:c>
      <x:c r="G245" s="34" t="str">
        <x:v>documentation</x:v>
      </x:c>
      <x:c r="H245" s="34" t="str">
        <x:v>Tag the release (study-v1.0); build; record the build hash; lock rig.json, calibration_rig.json, scenario, and session files (hashes recorded in docs/frozen.md; local.json is deliberately excluded). Any change during data collection requires a new tag and a note in the study log.</x:v>
      </x:c>
      <x:c r="I245" s="34" t="str">
        <x:v>P8.1:P8.6</x:v>
      </x:c>
      <x:c r="J245" s="34" t="str"/>
      <x:c r="K245" s="34" t="str">
        <x:v>Acceptance criteria and required evidence are satisfied and recorded.</x:v>
      </x:c>
      <x:c r="L245" s="34" t="str">
        <x:v>Acceptance criteria and required evidence are satisfied and recorded.</x:v>
      </x:c>
      <x:c r="M245" s="34" t="str">
        <x:v>tag, release bundle, docs/frozen.md</x:v>
      </x:c>
      <x:c r="N245" s="34" t="str">
        <x:v>not_started</x:v>
      </x:c>
      <x:c r="O245" s="34" t="str">
        <x:v>Investigator, developer, and lab operator</x:v>
      </x:c>
      <x:c r="P245" s="34" t="str">
        <x:v>agent</x:v>
      </x:c>
      <x:c r="Q245" s="34" t="str">
        <x:v>p8/P8.7-freeze</x:v>
      </x:c>
      <x:c r="R245" s="36" t="str"/>
      <x:c r="S245" s="36" t="str"/>
      <x:c r="T245" s="34" t="str"/>
      <x:c r="U245" s="34" t="str"/>
      <x:c r="V245" s="34" t="str">
        <x:v>ELTS Build Plan P8.7</x:v>
      </x:c>
    </x:row>
    <x:row r="246">
      <x:c r="A246" s="10" t="n">
        <x:v>241</x:v>
      </x:c>
      <x:c r="B246" s="10" t="str">
        <x:v>P8.7.V001</x:v>
      </x:c>
      <x:c r="C246" s="10" t="str">
        <x:v>P8.7</x:v>
      </x:c>
      <x:c r="D246" s="10" t="str">
        <x:v>P8</x:v>
      </x:c>
      <x:c r="E246" s="10" t="str">
        <x:v>G8</x:v>
      </x:c>
      <x:c r="F246" s="10" t="str">
        <x:v>WS-C, WS-F</x:v>
      </x:c>
      <x:c r="G246" s="10" t="str">
        <x:v>verification</x:v>
      </x:c>
      <x:c r="H246" s="10" t="str">
        <x:v>Verify P8.7 against its completion criteria and attach evidence.</x:v>
      </x:c>
      <x:c r="I246" s="10" t="str">
        <x:v>P8.7.S001</x:v>
      </x:c>
      <x:c r="J246" s="10" t="str"/>
      <x:c r="K246" s="10" t="str">
        <x:v>Acceptance criteria and required evidence are satisfied and recorded.</x:v>
      </x:c>
      <x:c r="L246" s="10" t="str">
        <x:v>Acceptance criteria and required evidence are satisfied and recorded.</x:v>
      </x:c>
      <x:c r="M246" s="10" t="str">
        <x:v>tag, release bundle, docs/frozen.md</x:v>
      </x:c>
      <x:c r="N246" s="10" t="str">
        <x:v>not_started</x:v>
      </x:c>
      <x:c r="O246" s="10" t="str">
        <x:v>Investigator, developer, and lab operator</x:v>
      </x:c>
      <x:c r="P246" s="10" t="str">
        <x:v>automated_check</x:v>
      </x:c>
      <x:c r="Q246" s="10" t="str">
        <x:v>p8/P8.7-freeze</x:v>
      </x:c>
      <x:c r="R246" s="35" t="str"/>
      <x:c r="S246" s="35" t="str"/>
      <x:c r="T246" s="10" t="str"/>
      <x:c r="U246" s="10" t="str"/>
      <x:c r="V246" s="10" t="str">
        <x:v>ELTS Build Plan P8.7</x:v>
      </x:c>
    </x:row>
    <x:row r="247">
      <x:c r="A247" s="34" t="n">
        <x:v>242</x:v>
      </x:c>
      <x:c r="B247" s="34" t="str">
        <x:v>P8.8.S001</x:v>
      </x:c>
      <x:c r="C247" s="34" t="str">
        <x:v>P8.8</x:v>
      </x:c>
      <x:c r="D247" s="34" t="str">
        <x:v>P8</x:v>
      </x:c>
      <x:c r="E247" s="34" t="str">
        <x:v>G8</x:v>
      </x:c>
      <x:c r="F247" s="34" t="str">
        <x:v>WS-E, WS-F</x:v>
      </x:c>
      <x:c r="G247" s="34" t="str">
        <x:v>documentation</x:v>
      </x:c>
      <x:c r="H247" s="34" t="str">
        <x:v>Spare microswitch, spare tracker battery/charger routine, spare pogo board, printed spare cradle, the manual ELTS start path (A5) documented as fallback.</x:v>
      </x:c>
      <x:c r="I247" s="34" t="str">
        <x:v>P8.2</x:v>
      </x:c>
      <x:c r="J247" s="34" t="str"/>
      <x:c r="K247" s="34" t="str">
        <x:v>Acceptance criteria and required evidence are satisfied and recorded.</x:v>
      </x:c>
      <x:c r="L247" s="34" t="str">
        <x:v>Acceptance criteria and required evidence are satisfied and recorded.</x:v>
      </x:c>
      <x:c r="M247" s="34" t="str">
        <x:v>docs/operator/contingencies.md</x:v>
      </x:c>
      <x:c r="N247" s="34" t="str">
        <x:v>not_started</x:v>
      </x:c>
      <x:c r="O247" s="34" t="str">
        <x:v>Investigator, developer, and lab operator</x:v>
      </x:c>
      <x:c r="P247" s="34" t="str">
        <x:v>mixed</x:v>
      </x:c>
      <x:c r="Q247" s="34" t="str">
        <x:v>p8/P8.8-spares-and-contingencies</x:v>
      </x:c>
      <x:c r="R247" s="36" t="str"/>
      <x:c r="S247" s="36" t="str"/>
      <x:c r="T247" s="34" t="str"/>
      <x:c r="U247" s="34" t="str"/>
      <x:c r="V247" s="34" t="str">
        <x:v>ELTS Build Plan P8.8</x:v>
      </x:c>
    </x:row>
    <x:row r="248">
      <x:c r="A248" s="33" t="n">
        <x:v>243</x:v>
      </x:c>
      <x:c r="B248" s="33" t="str">
        <x:v>P8.8.V001</x:v>
      </x:c>
      <x:c r="C248" s="33" t="str">
        <x:v>P8.8</x:v>
      </x:c>
      <x:c r="D248" s="33" t="str">
        <x:v>P8</x:v>
      </x:c>
      <x:c r="E248" s="33" t="str">
        <x:v>G8</x:v>
      </x:c>
      <x:c r="F248" s="33" t="str">
        <x:v>WS-E, WS-F</x:v>
      </x:c>
      <x:c r="G248" s="33" t="str">
        <x:v>verification</x:v>
      </x:c>
      <x:c r="H248" s="33" t="str">
        <x:v>Verify P8.8 against its completion criteria and attach evidence.</x:v>
      </x:c>
      <x:c r="I248" s="33" t="str">
        <x:v>P8.8.S001</x:v>
      </x:c>
      <x:c r="J248" s="33" t="str"/>
      <x:c r="K248" s="33" t="str">
        <x:v>Acceptance criteria and required evidence are satisfied and recorded.</x:v>
      </x:c>
      <x:c r="L248" s="33" t="str">
        <x:v>Acceptance criteria and required evidence are satisfied and recorded.</x:v>
      </x:c>
      <x:c r="M248" s="33" t="str">
        <x:v>docs/operator/contingencies.md</x:v>
      </x:c>
      <x:c r="N248" s="33" t="str">
        <x:v>not_started</x:v>
      </x:c>
      <x:c r="O248" s="33" t="str">
        <x:v>Investigator, developer, and lab operator</x:v>
      </x:c>
      <x:c r="P248" s="33" t="str">
        <x:v>mixed</x:v>
      </x:c>
      <x:c r="Q248" s="33" t="str">
        <x:v>p8/P8.8-spares-and-contingencies</x:v>
      </x:c>
      <x:c r="R248" s="37" t="str"/>
      <x:c r="S248" s="37" t="str"/>
      <x:c r="T248" s="33" t="str"/>
      <x:c r="U248" s="33" t="str"/>
      <x:c r="V248" s="33" t="str">
        <x:v>ELTS Build Plan P8.8</x:v>
      </x:c>
    </x:row>
  </x:sheetData>
  <x:mergeCells>
    <x:mergeCell ref="A1:V1"/>
    <x:mergeCell ref="A2:V2"/>
  </x:mergeCells>
  <x:conditionalFormatting sqref="N6:N248">
    <x:cfRule type="containsText" dxfId="7" priority="1" operator="containsText" text="done"/>
    <x:cfRule type="containsText" dxfId="8" priority="2" operator="containsText" text="passed"/>
    <x:cfRule type="containsText" dxfId="9" priority="3" operator="containsText" text="in_progress"/>
    <x:cfRule type="containsText" dxfId="10" priority="4" operator="containsText" text="verification_pending"/>
    <x:cfRule type="containsText" dxfId="11" priority="5" operator="containsText" text="ready"/>
    <x:cfRule type="containsText" dxfId="12" priority="6" operator="containsText" text="blocked"/>
    <x:cfRule type="containsText" dxfId="13" priority="7" operator="containsText" text="fail"/>
  </x:conditionalFormatting>
  <x:dataValidations count="2">
    <x:dataValidation type="list" sqref="N6:N248">
      <x:formula1>"not_started,ready,in_progress,blocked,verification_pending,done,superseded"</x:formula1>
    </x:dataValidation>
    <x:dataValidation type="list" sqref="P6:P248">
      <x:formula1>"agent,human,mixed,lab_hardware,automated_check"</x:formula1>
    </x:dataValidation>
  </x:dataValidations>
  <x:pageMargins left="0.7" right="0.7" top="0.75" bottom="0.75" header="0.3" footer="0.3"/>
  <x:tableParts count="1">
    <x:tablePart xmlns:r="http://schemas.openxmlformats.org/officeDocument/2006/relationships" r:id="R85310309eb134944"/>
  </x:tableParts>
</x:worksheet>
</file>

<file path=xl/worksheets/sheet6.xml><?xml version="1.0" encoding="utf-8"?>
<x:worksheet xmlns:x="http://schemas.openxmlformats.org/spreadsheetml/2006/main">
  <x:sheetPr>
    <x:tabColor rgb="FFFFC000"/>
  </x:sheetPr>
  <x:sheetViews>
    <x:sheetView showGridLines="0" workbookViewId="0">
      <x:pane xSplit="2" ySplit="5" topLeftCell="C6" activePane="bottomRight" state="frozen"/>
    </x:sheetView>
  </x:sheetViews>
  <x:sheetFormatPr defaultRowHeight="15"/>
  <x:cols>
    <x:col min="1" max="1" width="13" hidden="0" customWidth="1"/>
    <x:col min="2" max="2" width="36" hidden="0" customWidth="1"/>
    <x:col min="3" max="3" width="27" hidden="0" customWidth="1"/>
    <x:col min="4" max="4" width="22" hidden="0" customWidth="1"/>
    <x:col min="5" max="5" width="72" hidden="0" customWidth="1"/>
    <x:col min="6" max="6" width="16" hidden="0" customWidth="1"/>
    <x:col min="7" max="7" width="20" hidden="0" customWidth="1"/>
    <x:col min="8" max="8" width="44" hidden="0" customWidth="1"/>
    <x:col min="9" max="9" width="30" hidden="0" customWidth="1"/>
    <x:col min="10" max="10" width="30" hidden="0" customWidth="1"/>
    <x:col min="11" max="11" width="28" hidden="0" customWidth="1"/>
  </x:cols>
  <x:sheetData>
    <x:row r="1" ht="28" customHeight="1">
      <x:c r="A1" s="1" t="str">
        <x:v>Decision register</x:v>
      </x:c>
    </x:row>
    <x:row r="2">
      <x:c r="A2" s="2" t="str">
        <x:v>D-01 through D-18 retain their original identifiers. Agents must not invent outcomes.</x:v>
      </x:c>
    </x:row>
    <x:row r="3">
      <x:c r="A3" s="3"/>
      <x:c r="B3" s="3"/>
      <x:c r="C3" s="3"/>
      <x:c r="D3" s="3"/>
      <x:c r="E3" s="3"/>
      <x:c r="F3" s="3"/>
      <x:c r="G3" s="3"/>
      <x:c r="H3" s="3"/>
      <x:c r="I3" s="3"/>
      <x:c r="J3" s="3"/>
      <x:c r="K3" s="3"/>
    </x:row>
    <x:row r="5" ht="32" customHeight="1">
      <x:c r="A5" s="31" t="str">
        <x:v>Decision ID</x:v>
      </x:c>
      <x:c r="B5" s="31" t="str">
        <x:v>Decision</x:v>
      </x:c>
      <x:c r="C5" s="31" t="str">
        <x:v>Owner</x:v>
      </x:c>
      <x:c r="D5" s="31" t="str">
        <x:v>Latest Blocking Point</x:v>
      </x:c>
      <x:c r="E5" s="31" t="str">
        <x:v>Inputs and Criteria</x:v>
      </x:c>
      <x:c r="F5" s="31" t="str">
        <x:v>Status</x:v>
      </x:c>
      <x:c r="G5" s="31" t="str">
        <x:v>Decision Date UTC</x:v>
      </x:c>
      <x:c r="H5" s="31" t="str">
        <x:v>Outcome</x:v>
      </x:c>
      <x:c r="I5" s="31" t="str">
        <x:v>ADR or Evidence</x:v>
      </x:c>
      <x:c r="J5" s="31" t="str">
        <x:v>Affected Work Items</x:v>
      </x:c>
      <x:c r="K5" s="31" t="str">
        <x:v>Notes</x:v>
      </x:c>
    </x:row>
    <x:row r="6">
      <x:c r="A6" s="10" t="str">
        <x:v>D-01</x:v>
      </x:c>
      <x:c r="B6" s="10" t="str">
        <x:v>Display type, size, refresh rate</x:v>
      </x:c>
      <x:c r="C6" s="10" t="str">
        <x:v>Investigators</x:v>
      </x:c>
      <x:c r="D6" s="10" t="str">
        <x:v>Phase 7 entry (Phase 3 works on any interim display)</x:v>
      </x:c>
      <x:c r="E6" s="10" t="str">
        <x:v>High-brightness direct-view panel preferred over projection (§8); size sets target angular sizes and the visible virtual volume; refresh rate ≥ 120 Hz preferred for perceived latency; must accept corner-rod mounts; measured luminance for D.2</x:v>
      </x:c>
      <x:c r="F6" s="10" t="str">
        <x:v>open</x:v>
      </x:c>
      <x:c r="G6" s="10" t="str"/>
      <x:c r="H6" s="10" t="str"/>
      <x:c r="I6" s="10" t="str"/>
      <x:c r="J6" s="10" t="str">
        <x:v>P0.7</x:v>
      </x:c>
      <x:c r="K6" s="10" t="str"/>
    </x:row>
    <x:row r="7">
      <x:c r="A7" s="34" t="str">
        <x:v>D-02</x:v>
      </x:c>
      <x:c r="B7" s="34" t="str">
        <x:v>Room layout, mounting points, base station exact position</x:v>
      </x:c>
      <x:c r="C7" s="34" t="str">
        <x:v>Investigators + developer</x:v>
      </x:c>
      <x:c r="D7" s="34" t="str">
        <x:v>Phase 7 entry</x:v>
      </x:c>
      <x:c r="E7" s="34" t="str">
        <x:v>Base station above the display, both trackers facing it (§5.1); ELTS illuminates the participant without spilling onto the display (§8); participant standing zone; operator sightline to the E-stop; P0.7 survey</x:v>
      </x:c>
      <x:c r="F7" s="34" t="str">
        <x:v>open</x:v>
      </x:c>
      <x:c r="G7" s="34" t="str"/>
      <x:c r="H7" s="34" t="str"/>
      <x:c r="I7" s="34" t="str"/>
      <x:c r="J7" s="34" t="str">
        <x:v>P0.7, P1.1, P7.1</x:v>
      </x:c>
      <x:c r="K7" s="34" t="str"/>
    </x:row>
    <x:row r="8">
      <x:c r="A8" s="10" t="str">
        <x:v>D-03</x:v>
      </x:c>
      <x:c r="B8" s="10" t="str">
        <x:v>Unity ↔ Jetson transport</x:v>
      </x:c>
      <x:c r="C8" s="10" t="str">
        <x:v>Developer + ELTS code owner</x:v>
      </x:c>
      <x:c r="D8" s="10" t="str">
        <x:v>Phase 6 entry</x:v>
      </x:c>
      <x:c r="E8" s="10" t="str">
        <x:v>§14.3</x:v>
      </x:c>
      <x:c r="F8" s="10" t="str">
        <x:v>open</x:v>
      </x:c>
      <x:c r="G8" s="10" t="str"/>
      <x:c r="H8" s="10" t="str"/>
      <x:c r="I8" s="10" t="str"/>
      <x:c r="J8" s="10" t="str">
        <x:v>P6.2</x:v>
      </x:c>
      <x:c r="K8" s="10" t="str"/>
    </x:row>
    <x:row r="9">
      <x:c r="A9" s="34" t="str">
        <x:v>D-04</x:v>
      </x:c>
      <x:c r="B9" s="34" t="str">
        <x:v>Moving-target movement specification</x:v>
      </x:c>
      <x:c r="C9" s="34" t="str">
        <x:v>Investigators</x:v>
      </x:c>
      <x:c r="D9" s="34" t="str">
        <x:v>Phase 8 (P8.1)</x:v>
      </x:c>
      <x:c r="E9" s="34" t="str">
        <x:v>Expressed as IMovementBehaviour parameters; must remain easy to change (§6.3); seed logged per block</x:v>
      </x:c>
      <x:c r="F9" s="34" t="str">
        <x:v>open</x:v>
      </x:c>
      <x:c r="G9" s="34" t="str"/>
      <x:c r="H9" s="34" t="str"/>
      <x:c r="I9" s="34" t="str"/>
      <x:c r="J9" s="34" t="str">
        <x:v>P4.3, P8.1</x:v>
      </x:c>
      <x:c r="K9" s="34" t="str"/>
    </x:row>
    <x:row r="10">
      <x:c r="A10" s="10" t="str">
        <x:v>D-05</x:v>
      </x:c>
      <x:c r="B10" s="10" t="str">
        <x:v>Shot model parameters (ammo, reload, fire-rate cap, hits-to-destroy)</x:v>
      </x:c>
      <x:c r="C10" s="10" t="str">
        <x:v>Investigators</x:v>
      </x:c>
      <x:c r="D10" s="10" t="str">
        <x:v>Phase 8 (P8.1)</x:v>
      </x:c>
      <x:c r="E10" s="10" t="str">
        <x:v>Scenario file values; defaults are "unlimited / 1 hit" until decided</x:v>
      </x:c>
      <x:c r="F10" s="10" t="str">
        <x:v>open</x:v>
      </x:c>
      <x:c r="G10" s="10" t="str"/>
      <x:c r="H10" s="10" t="str"/>
      <x:c r="I10" s="10" t="str"/>
      <x:c r="J10" s="10" t="str">
        <x:v>P4.5</x:v>
      </x:c>
      <x:c r="K10" s="10" t="str"/>
    </x:row>
    <x:row r="11">
      <x:c r="A11" s="34" t="str">
        <x:v>D-06</x:v>
      </x:c>
      <x:c r="B11" s="34" t="str">
        <x:v>Participant-facing feedback (hit visuals, sound, score display)</x:v>
      </x:c>
      <x:c r="C11" s="34" t="str">
        <x:v>Investigators</x:v>
      </x:c>
      <x:c r="D11" s="34" t="str">
        <x:v>Phase 8 (P8.1)</x:v>
      </x:c>
      <x:c r="E11" s="34" t="str">
        <x:v>Stimulus design question; toggles exist for every option</x:v>
      </x:c>
      <x:c r="F11" s="34" t="str">
        <x:v>open</x:v>
      </x:c>
      <x:c r="G11" s="34" t="str"/>
      <x:c r="H11" s="34" t="str"/>
      <x:c r="I11" s="34" t="str"/>
      <x:c r="J11" s="34" t="str">
        <x:v>P4.7</x:v>
      </x:c>
      <x:c r="K11" s="34" t="str"/>
    </x:row>
    <x:row r="12">
      <x:c r="A12" s="10" t="str">
        <x:v>D-07</x:v>
      </x:c>
      <x:c r="B12" s="10" t="str">
        <x:v>Practice session content (10 min, §3.3)</x:v>
      </x:c>
      <x:c r="C12" s="10" t="str">
        <x:v>Investigators</x:v>
      </x:c>
      <x:c r="D12" s="10" t="str">
        <x:v>Phase 8 (P8.1)</x:v>
      </x:c>
      <x:c r="E12" s="10" t="str">
        <x:v>Session template practice block(s)</x:v>
      </x:c>
      <x:c r="F12" s="10" t="str">
        <x:v>open</x:v>
      </x:c>
      <x:c r="G12" s="10" t="str"/>
      <x:c r="H12" s="10" t="str"/>
      <x:c r="I12" s="10" t="str"/>
      <x:c r="J12" s="10" t="str">
        <x:v>P4.8</x:v>
      </x:c>
      <x:c r="K12" s="10" t="str"/>
    </x:row>
    <x:row r="13">
      <x:c r="A13" s="34" t="str">
        <x:v>D-08</x:v>
      </x:c>
      <x:c r="B13" s="34" t="str">
        <x:v>Block-order assignment method (full randomization vs. counterbalancing) and the assignment sheet for N = 55</x:v>
      </x:c>
      <x:c r="C13" s="34" t="str">
        <x:v>Investigators</x:v>
      </x:c>
      <x:c r="D13" s="34" t="str">
        <x:v>Phase 8 (P8.1)</x:v>
      </x:c>
      <x:c r="E13" s="34" t="str">
        <x:v>App accepts any permutation per participant; sheet generated outside the app</x:v>
      </x:c>
      <x:c r="F13" s="34" t="str">
        <x:v>open</x:v>
      </x:c>
      <x:c r="G13" s="34" t="str"/>
      <x:c r="H13" s="34" t="str"/>
      <x:c r="I13" s="34" t="str"/>
      <x:c r="J13" s="34" t="str">
        <x:v>P4.9, P8.1</x:v>
      </x:c>
      <x:c r="K13" s="34" t="str"/>
    </x:row>
    <x:row r="14">
      <x:c r="A14" s="10" t="str">
        <x:v>D-09</x:v>
      </x:c>
      <x:c r="B14" s="10" t="str">
        <x:v>Mock weapon platform and sight type</x:v>
      </x:c>
      <x:c r="C14" s="10" t="str">
        <x:v>Investigators + fabricator</x:v>
      </x:c>
      <x:c r="D14" s="10" t="str">
        <x:v>Phase 1 (P1.11)</x:v>
      </x:c>
      <x:c r="E14" s="10" t="str">
        <x:v>§13.1.1</x:v>
      </x:c>
      <x:c r="F14" s="10" t="str">
        <x:v>open</x:v>
      </x:c>
      <x:c r="G14" s="10" t="str"/>
      <x:c r="H14" s="10" t="str"/>
      <x:c r="I14" s="10" t="str"/>
      <x:c r="J14" s="10" t="str">
        <x:v>P1.11</x:v>
      </x:c>
      <x:c r="K14" s="10" t="str"/>
    </x:row>
    <x:row r="15">
      <x:c r="A15" s="34" t="str">
        <x:v>D-10</x:v>
      </x:c>
      <x:c r="B15" s="34" t="str">
        <x:v>ELTS behavior during NE blocks (fully idle vs. armed without LEDs)</x:v>
      </x:c>
      <x:c r="C15" s="34" t="str">
        <x:v>Investigators</x:v>
      </x:c>
      <x:c r="D15" s="34" t="str">
        <x:v>Phase 6 entry</x:v>
      </x:c>
      <x:c r="E15" s="34" t="str">
        <x:v>Servo/turret noise as a possible cue; warm-up latency if idle</x:v>
      </x:c>
      <x:c r="F15" s="34" t="str">
        <x:v>open</x:v>
      </x:c>
      <x:c r="G15" s="34" t="str"/>
      <x:c r="H15" s="34" t="str"/>
      <x:c r="I15" s="34" t="str"/>
      <x:c r="J15" s="34" t="str">
        <x:v>P6.5</x:v>
      </x:c>
      <x:c r="K15" s="34" t="str"/>
    </x:row>
    <x:row r="16">
      <x:c r="A16" s="10" t="str">
        <x:v>D-11</x:v>
      </x:c>
      <x:c r="B16" s="10" t="str">
        <x:v>Display luminance measurement method (instrument; spot vs. continuous logging)</x:v>
      </x:c>
      <x:c r="C16" s="10" t="str">
        <x:v>Investigators + developer</x:v>
      </x:c>
      <x:c r="D16" s="10" t="str">
        <x:v>Phase 7 entry</x:v>
      </x:c>
      <x:c r="E16" s="10" t="str">
        <x:v>§8 asks for luminance to be logged during trials; minimum is spot measurements before/after each block recorded in the session notes; continuous logging needs a sensor and a small logging path</x:v>
      </x:c>
      <x:c r="F16" s="10" t="str">
        <x:v>open</x:v>
      </x:c>
      <x:c r="G16" s="10" t="str"/>
      <x:c r="H16" s="10" t="str"/>
      <x:c r="I16" s="10" t="str"/>
      <x:c r="J16" s="10" t="str">
        <x:v>P0.1, P7.3</x:v>
      </x:c>
      <x:c r="K16" s="10" t="str"/>
    </x:row>
    <x:row r="17">
      <x:c r="A17" s="34" t="str">
        <x:v>D-12</x:v>
      </x:c>
      <x:c r="B17" s="34" t="str">
        <x:v>Cross-device time synchronization with eye tracker, HRV, IMU</x:v>
      </x:c>
      <x:c r="C17" s="34" t="str">
        <x:v>Collaborators (Liang, Park) + developer</x:v>
      </x:c>
      <x:c r="D17" s="34" t="str">
        <x:v>Phase 8 (P8.4)</x:v>
      </x:c>
      <x:c r="E17" s="34" t="str">
        <x:v>App provides UTC at clock start and an operator SyncMarker event; a physical sync event visible to all systems is the usual solution (Appendix D.7)</x:v>
      </x:c>
      <x:c r="F17" s="34" t="str">
        <x:v>open</x:v>
      </x:c>
      <x:c r="G17" s="34" t="str"/>
      <x:c r="H17" s="34" t="str"/>
      <x:c r="I17" s="34" t="str"/>
      <x:c r="J17" s="34" t="str">
        <x:v>P0.5, P2.2, P4.11, P8.4</x:v>
      </x:c>
      <x:c r="K17" s="34" t="str"/>
    </x:row>
    <x:row r="18">
      <x:c r="A18" s="10" t="str">
        <x:v>D-13</x:v>
      </x:c>
      <x:c r="B18" s="10" t="str">
        <x:v>Photobiological safety classification / basis of exposure approval (IEC 62471)</x:v>
      </x:c>
      <x:c r="C18" s="10" t="str">
        <x:v>Investigators</x:v>
      </x:c>
      <x:c r="D18" s="10" t="str">
        <x:v>Phase 7 (P7.8)</x:v>
      </x:c>
      <x:c r="E18" s="10" t="str">
        <x:v>Feeds the max on-time guard (P6.8)</x:v>
      </x:c>
      <x:c r="F18" s="10" t="str">
        <x:v>open</x:v>
      </x:c>
      <x:c r="G18" s="10" t="str"/>
      <x:c r="H18" s="10" t="str"/>
      <x:c r="I18" s="10" t="str"/>
      <x:c r="J18" s="10" t="str">
        <x:v>P0.6, P6.8, P7.8</x:v>
      </x:c>
      <x:c r="K18" s="10" t="str"/>
    </x:row>
    <x:row r="19">
      <x:c r="A19" s="34" t="str">
        <x:v>D-14</x:v>
      </x:c>
      <x:c r="B19" s="34" t="str">
        <x:v>LED wattage, color temperature, beam angle, optics — documented</x:v>
      </x:c>
      <x:c r="C19" s="34" t="str">
        <x:v>ELTS builder</x:v>
      </x:c>
      <x:c r="D19" s="34" t="str">
        <x:v>Phase 7 (P7.8)</x:v>
      </x:c>
      <x:c r="E19" s="34" t="str">
        <x:v>Methods section and safety sheet</x:v>
      </x:c>
      <x:c r="F19" s="34" t="str">
        <x:v>open</x:v>
      </x:c>
      <x:c r="G19" s="34" t="str"/>
      <x:c r="H19" s="34" t="str"/>
      <x:c r="I19" s="34" t="str"/>
      <x:c r="J19" s="34" t="str">
        <x:v>P0.6, P7.8</x:v>
      </x:c>
      <x:c r="K19" s="34" t="str"/>
    </x:row>
    <x:row r="20">
      <x:c r="A20" s="10" t="str">
        <x:v>D-15</x:v>
      </x:c>
      <x:c r="B20" s="10" t="str">
        <x:v>Center camera turret: pans to keep the face framed, or fixed</x:v>
      </x:c>
      <x:c r="C20" s="10" t="str">
        <x:v>ELTS builder</x:v>
      </x:c>
      <x:c r="D20" s="10" t="str">
        <x:v>Informational</x:v>
      </x:c>
      <x:c r="E20" s="10" t="str">
        <x:v>Document; affects nothing in the Unity build</x:v>
      </x:c>
      <x:c r="F20" s="10" t="str">
        <x:v>informational</x:v>
      </x:c>
      <x:c r="G20" s="10" t="str"/>
      <x:c r="H20" s="10" t="str"/>
      <x:c r="I20" s="10" t="str"/>
      <x:c r="J20" s="10" t="str"/>
      <x:c r="K20" s="10" t="str"/>
    </x:row>
    <x:row r="21">
      <x:c r="A21" s="34" t="str">
        <x:v>D-16</x:v>
      </x:c>
      <x:c r="B21" s="34" t="str">
        <x:v>Scenario parameters not covered above: target size/shape, count, distance band, lifetime, respawn delay, spawn volume</x:v>
      </x:c>
      <x:c r="C21" s="34" t="str">
        <x:v>Investigators</x:v>
      </x:c>
      <x:c r="D21" s="34" t="str">
        <x:v>Phase 8 (P8.1)</x:v>
      </x:c>
      <x:c r="E21" s="34" t="str">
        <x:v>Scenario file values</x:v>
      </x:c>
      <x:c r="F21" s="34" t="str">
        <x:v>open</x:v>
      </x:c>
      <x:c r="G21" s="34" t="str"/>
      <x:c r="H21" s="34" t="str"/>
      <x:c r="I21" s="34" t="str"/>
      <x:c r="J21" s="34" t="str"/>
      <x:c r="K21" s="34" t="str"/>
    </x:row>
    <x:row r="22">
      <x:c r="A22" s="10" t="str">
        <x:v>D-17</x:v>
      </x:c>
      <x:c r="B22" s="10" t="str">
        <x:v>Acceptance thresholds: pivot residual, corner-probe tolerances, 3×3 residual, occlusion fraction, washout %, link offset stability</x:v>
      </x:c>
      <x:c r="C22" s="10" t="str">
        <x:v>Developer proposes, investigators approve</x:v>
      </x:c>
      <x:c r="D22" s="10" t="str">
        <x:v>Phase 7 (P7.9)</x:v>
      </x:c>
      <x:c r="E22" s="10" t="str">
        <x:v>Provisional values in this plan (2 mm; 5 mm / 0.5°; 1.0°/2.0°; 5 %; 5 %; 20 ms) are replaced by rig-derived values and frozen</x:v>
      </x:c>
      <x:c r="F22" s="10" t="str">
        <x:v>open</x:v>
      </x:c>
      <x:c r="G22" s="10" t="str"/>
      <x:c r="H22" s="10" t="str"/>
      <x:c r="I22" s="10" t="str"/>
      <x:c r="J22" s="10" t="str">
        <x:v>P5.3, P5.6, P5.8, P7.3, P7.9</x:v>
      </x:c>
      <x:c r="K22" s="10" t="str"/>
    </x:row>
    <x:row r="23">
      <x:c r="A23" s="41" t="str">
        <x:v>D-18</x:v>
      </x:c>
      <x:c r="B23" s="41" t="str">
        <x:v>Hardware procurement confirmation (which tracking items are already in hand)</x:v>
      </x:c>
      <x:c r="C23" s="41" t="str">
        <x:v>Investigators</x:v>
      </x:c>
      <x:c r="D23" s="41" t="str">
        <x:v>Phase 0</x:v>
      </x:c>
      <x:c r="E23" s="41" t="str">
        <x:v>Assumption A1</x:v>
      </x:c>
      <x:c r="F23" s="41" t="str">
        <x:v>open</x:v>
      </x:c>
      <x:c r="G23" s="41" t="str"/>
      <x:c r="H23" s="41" t="str"/>
      <x:c r="I23" s="41" t="str"/>
      <x:c r="J23" s="41" t="str"/>
      <x:c r="K23" s="41" t="str"/>
    </x:row>
  </x:sheetData>
  <x:mergeCells>
    <x:mergeCell ref="A1:K1"/>
    <x:mergeCell ref="A2:K2"/>
  </x:mergeCells>
  <x:conditionalFormatting sqref="F6:F23">
    <x:cfRule type="containsText" dxfId="14" priority="1" operator="containsText" text="done"/>
    <x:cfRule type="containsText" dxfId="15" priority="2" operator="containsText" text="passed"/>
    <x:cfRule type="containsText" dxfId="16" priority="3" operator="containsText" text="in_progress"/>
    <x:cfRule type="containsText" dxfId="17" priority="4" operator="containsText" text="verification_pending"/>
    <x:cfRule type="containsText" dxfId="18" priority="5" operator="containsText" text="ready"/>
    <x:cfRule type="containsText" dxfId="19" priority="6" operator="containsText" text="blocked"/>
    <x:cfRule type="containsText" dxfId="20" priority="7" operator="containsText" text="fail"/>
  </x:conditionalFormatting>
  <x:dataValidations count="1">
    <x:dataValidation type="list" sqref="F6:F23">
      <x:formula1>"open,in_review,decided,superseded,informational"</x:formula1>
    </x:dataValidation>
  </x:dataValidations>
  <x:pageMargins left="0.7" right="0.7" top="0.75" bottom="0.75" header="0.3" footer="0.3"/>
  <x:tableParts count="1">
    <x:tablePart xmlns:r="http://schemas.openxmlformats.org/officeDocument/2006/relationships" r:id="Rfb348f41abea4453"/>
  </x:tableParts>
</x:worksheet>
</file>

<file path=xl/worksheets/sheet7.xml><?xml version="1.0" encoding="utf-8"?>
<x:worksheet xmlns:x="http://schemas.openxmlformats.org/spreadsheetml/2006/main">
  <x:sheetPr>
    <x:tabColor rgb="FFC00000"/>
  </x:sheetPr>
  <x:sheetViews>
    <x:sheetView showGridLines="0" workbookViewId="0">
      <x:pane xSplit="2" ySplit="5" topLeftCell="C6" activePane="bottomRight" state="frozen"/>
    </x:sheetView>
  </x:sheetViews>
  <x:sheetFormatPr defaultRowHeight="15"/>
  <x:cols>
    <x:col min="1" max="1" width="9" hidden="0" customWidth="1"/>
    <x:col min="2" max="2" width="13" hidden="0" customWidth="1"/>
    <x:col min="3" max="3" width="76" hidden="0" customWidth="1"/>
    <x:col min="4" max="4" width="27" hidden="0" customWidth="1"/>
    <x:col min="5" max="5" width="52" hidden="0" customWidth="1"/>
    <x:col min="6" max="6" width="30" hidden="0" customWidth="1"/>
    <x:col min="7" max="7" width="18" hidden="0" customWidth="1"/>
    <x:col min="8" max="8" width="20" hidden="0" customWidth="1"/>
    <x:col min="9" max="9" width="32" hidden="0" customWidth="1"/>
    <x:col min="10" max="10" width="30" hidden="0" customWidth="1"/>
  </x:cols>
  <x:sheetData>
    <x:row r="1" ht="28" customHeight="1">
      <x:c r="A1" s="1" t="str">
        <x:v>Gate criteria</x:v>
      </x:c>
    </x:row>
    <x:row r="2">
      <x:c r="A2" s="2" t="str">
        <x:v>All 62 hard-gate criteria. A gate passes only through an explicit pass event after every applicable criterion has evidence.</x:v>
      </x:c>
    </x:row>
    <x:row r="3">
      <x:c r="A3" s="3"/>
      <x:c r="B3" s="3"/>
      <x:c r="C3" s="3"/>
      <x:c r="D3" s="3"/>
      <x:c r="E3" s="3"/>
      <x:c r="F3" s="3"/>
      <x:c r="G3" s="3"/>
      <x:c r="H3" s="3"/>
      <x:c r="I3" s="3"/>
      <x:c r="J3" s="3"/>
    </x:row>
    <x:row r="5" ht="32" customHeight="1">
      <x:c r="A5" s="31" t="str">
        <x:v>Gate</x:v>
      </x:c>
      <x:c r="B5" s="31" t="str">
        <x:v>Criterion ID</x:v>
      </x:c>
      <x:c r="C5" s="31" t="str">
        <x:v>Criterion</x:v>
      </x:c>
      <x:c r="D5" s="31" t="str">
        <x:v>Source</x:v>
      </x:c>
      <x:c r="E5" s="31" t="str">
        <x:v>Required Evidence</x:v>
      </x:c>
      <x:c r="F5" s="31" t="str">
        <x:v>Verifier</x:v>
      </x:c>
      <x:c r="G5" s="31" t="str">
        <x:v>Status</x:v>
      </x:c>
      <x:c r="H5" s="31" t="str">
        <x:v>Verified UTC</x:v>
      </x:c>
      <x:c r="I5" s="31" t="str">
        <x:v>Evidence Path or URL</x:v>
      </x:c>
      <x:c r="J5" s="31" t="str">
        <x:v>Notes</x:v>
      </x:c>
    </x:row>
    <x:row r="6">
      <x:c r="A6" s="10" t="str">
        <x:v>G0</x:v>
      </x:c>
      <x:c r="B6" s="10" t="str">
        <x:v>G0.01</x:v>
      </x:c>
      <x:c r="C6" s="10" t="str">
        <x:v>BOM complete; all missing items ordered with expected arrival dates</x:v>
      </x:c>
      <x:c r="D6" s="10" t="str">
        <x:v>ELTS Build Plan Gate G0</x:v>
      </x:c>
      <x:c r="E6" s="10" t="str">
        <x:v>Test output, document, measurement, or signed lab record that directly proves the criterion.</x:v>
      </x:c>
      <x:c r="F6" s="10" t="str">
        <x:v>Developer or assigned owner</x:v>
      </x:c>
      <x:c r="G6" s="10" t="str">
        <x:v>not_evaluated</x:v>
      </x:c>
      <x:c r="H6" s="35" t="str"/>
      <x:c r="I6" s="10" t="str"/>
      <x:c r="J6" s="10" t="str"/>
    </x:row>
    <x:row r="7">
      <x:c r="A7" s="34" t="str">
        <x:v>G0</x:v>
      </x:c>
      <x:c r="B7" s="34" t="str">
        <x:v>G0.02</x:v>
      </x:c>
      <x:c r="C7" s="34" t="str">
        <x:v>Repository + Unity project skeleton builds and tests pass from a clean clone</x:v>
      </x:c>
      <x:c r="D7" s="34" t="str">
        <x:v>ELTS Build Plan Gate G0</x:v>
      </x:c>
      <x:c r="E7" s="34" t="str">
        <x:v>Test output, document, measurement, or signed lab record that directly proves the criterion.</x:v>
      </x:c>
      <x:c r="F7" s="34" t="str">
        <x:v>Developer or assigned owner</x:v>
      </x:c>
      <x:c r="G7" s="34" t="str">
        <x:v>not_evaluated</x:v>
      </x:c>
      <x:c r="H7" s="36" t="str"/>
      <x:c r="I7" s="34" t="str"/>
      <x:c r="J7" s="34" t="str"/>
    </x:row>
    <x:row r="8">
      <x:c r="A8" s="10" t="str">
        <x:v>G0</x:v>
      </x:c>
      <x:c r="B8" s="10" t="str">
        <x:v>G0.03</x:v>
      </x:c>
      <x:c r="C8" s="10" t="str">
        <x:v>Issue tracker seeded with all tasks and decisions</x:v>
      </x:c>
      <x:c r="D8" s="10" t="str">
        <x:v>ELTS Build Plan Gate G0</x:v>
      </x:c>
      <x:c r="E8" s="10" t="str">
        <x:v>Test output, document, measurement, or signed lab record that directly proves the criterion.</x:v>
      </x:c>
      <x:c r="F8" s="10" t="str">
        <x:v>Developer or assigned owner</x:v>
      </x:c>
      <x:c r="G8" s="10" t="str">
        <x:v>not_evaluated</x:v>
      </x:c>
      <x:c r="H8" s="35" t="str"/>
      <x:c r="I8" s="10" t="str"/>
      <x:c r="J8" s="10" t="str"/>
    </x:row>
    <x:row r="9">
      <x:c r="A9" s="34" t="str">
        <x:v>G0</x:v>
      </x:c>
      <x:c r="B9" s="34" t="str">
        <x:v>G0.04</x:v>
      </x:c>
      <x:c r="C9" s="34" t="str">
        <x:v>Every Decision Register row has an acknowledged owner and deadline</x:v>
      </x:c>
      <x:c r="D9" s="34" t="str">
        <x:v>ELTS Build Plan Gate G0</x:v>
      </x:c>
      <x:c r="E9" s="34" t="str">
        <x:v>Test output, document, measurement, or signed lab record that directly proves the criterion.</x:v>
      </x:c>
      <x:c r="F9" s="34" t="str">
        <x:v>Developer or assigned owner</x:v>
      </x:c>
      <x:c r="G9" s="34" t="str">
        <x:v>not_evaluated</x:v>
      </x:c>
      <x:c r="H9" s="36" t="str"/>
      <x:c r="I9" s="34" t="str"/>
      <x:c r="J9" s="34" t="str"/>
    </x:row>
    <x:row r="10">
      <x:c r="A10" s="10" t="str">
        <x:v>G0</x:v>
      </x:c>
      <x:c r="B10" s="10" t="str">
        <x:v>G0.05</x:v>
      </x:c>
      <x:c r="C10" s="10" t="str">
        <x:v>Safety documents opened</x:v>
      </x:c>
      <x:c r="D10" s="10" t="str">
        <x:v>ELTS Build Plan Gate G0</x:v>
      </x:c>
      <x:c r="E10" s="10" t="str">
        <x:v>Test output, document, measurement, or signed lab record that directly proves the criterion.</x:v>
      </x:c>
      <x:c r="F10" s="10" t="str">
        <x:v>Developer or assigned owner</x:v>
      </x:c>
      <x:c r="G10" s="10" t="str">
        <x:v>not_evaluated</x:v>
      </x:c>
      <x:c r="H10" s="35" t="str"/>
      <x:c r="I10" s="10" t="str"/>
      <x:c r="J10" s="10" t="str"/>
    </x:row>
    <x:row r="11">
      <x:c r="A11" s="34" t="str">
        <x:v>G0</x:v>
      </x:c>
      <x:c r="B11" s="34" t="str">
        <x:v>G0.06</x:v>
      </x:c>
      <x:c r="C11" s="34" t="str">
        <x:v>Room survey sketch exists</x:v>
      </x:c>
      <x:c r="D11" s="34" t="str">
        <x:v>ELTS Build Plan Gate G0</x:v>
      </x:c>
      <x:c r="E11" s="34" t="str">
        <x:v>Test output, document, measurement, or signed lab record that directly proves the criterion.</x:v>
      </x:c>
      <x:c r="F11" s="34" t="str">
        <x:v>Developer or assigned owner</x:v>
      </x:c>
      <x:c r="G11" s="34" t="str">
        <x:v>not_evaluated</x:v>
      </x:c>
      <x:c r="H11" s="36" t="str"/>
      <x:c r="I11" s="34" t="str"/>
      <x:c r="J11" s="34" t="str"/>
    </x:row>
    <x:row r="12">
      <x:c r="A12" s="10" t="str">
        <x:v>G1</x:v>
      </x:c>
      <x:c r="B12" s="10" t="str">
        <x:v>G1.01</x:v>
      </x:c>
      <x:c r="C12" s="10" t="str">
        <x:v>SteamVR runs headless; both trackers listed</x:v>
      </x:c>
      <x:c r="D12" s="10" t="str">
        <x:v>ELTS Build Plan Gate G1</x:v>
      </x:c>
      <x:c r="E12" s="10" t="str">
        <x:v>Test output, document, measurement, or signed lab record that directly proves the criterion.</x:v>
      </x:c>
      <x:c r="F12" s="10" t="str">
        <x:v>Developer or assigned owner</x:v>
      </x:c>
      <x:c r="G12" s="10" t="str">
        <x:v>not_evaluated</x:v>
      </x:c>
      <x:c r="H12" s="35" t="str"/>
      <x:c r="I12" s="10" t="str"/>
      <x:c r="J12" s="10" t="str"/>
    </x:row>
    <x:row r="13">
      <x:c r="A13" s="34" t="str">
        <x:v>G1</x:v>
      </x:c>
      <x:c r="B13" s="34" t="str">
        <x:v>G1.02</x:v>
      </x:c>
      <x:c r="C13" s="34" t="str">
        <x:v>Unity test scene shows both trackers as gizmos, correct handedness, bound by serial, surviving three SteamVR restarts</x:v>
      </x:c>
      <x:c r="D13" s="34" t="str">
        <x:v>ELTS Build Plan Gate G1</x:v>
      </x:c>
      <x:c r="E13" s="34" t="str">
        <x:v>Test output, document, measurement, or signed lab record that directly proves the criterion.</x:v>
      </x:c>
      <x:c r="F13" s="34" t="str">
        <x:v>Developer or assigned owner</x:v>
      </x:c>
      <x:c r="G13" s="34" t="str">
        <x:v>not_evaluated</x:v>
      </x:c>
      <x:c r="H13" s="36" t="str"/>
      <x:c r="I13" s="34" t="str"/>
      <x:c r="J13" s="34" t="str"/>
    </x:row>
    <x:row r="14">
      <x:c r="A14" s="10" t="str">
        <x:v>G1</x:v>
      </x:c>
      <x:c r="B14" s="10" t="str">
        <x:v>G1.03</x:v>
      </x:c>
      <x:c r="C14" s="10" t="str">
        <x:v>250 Hz polling thread holds ≥ 245 Hz average with 0 s prediction; validity flags observed to change under occlusion</x:v>
      </x:c>
      <x:c r="D14" s="10" t="str">
        <x:v>ELTS Build Plan Gate G1</x:v>
      </x:c>
      <x:c r="E14" s="10" t="str">
        <x:v>Test output, document, measurement, or signed lab record that directly proves the criterion.</x:v>
      </x:c>
      <x:c r="F14" s="10" t="str">
        <x:v>Developer or assigned owner</x:v>
      </x:c>
      <x:c r="G14" s="10" t="str">
        <x:v>not_evaluated</x:v>
      </x:c>
      <x:c r="H14" s="35" t="str"/>
      <x:c r="I14" s="10" t="str"/>
      <x:c r="J14" s="10" t="str"/>
    </x:row>
    <x:row r="15">
      <x:c r="A15" s="34" t="str">
        <x:v>G1</x:v>
      </x:c>
      <x:c r="B15" s="34" t="str">
        <x:v>G1.04</x:v>
      </x:c>
      <x:c r="C15" s="34" t="str">
        <x:v>Trigger toggles in the same polled state as the pose</x:v>
      </x:c>
      <x:c r="D15" s="34" t="str">
        <x:v>ELTS Build Plan Gate G1</x:v>
      </x:c>
      <x:c r="E15" s="34" t="str">
        <x:v>Test output, document, measurement, or signed lab record that directly proves the criterion.</x:v>
      </x:c>
      <x:c r="F15" s="34" t="str">
        <x:v>Developer or assigned owner</x:v>
      </x:c>
      <x:c r="G15" s="34" t="str">
        <x:v>not_evaluated</x:v>
      </x:c>
      <x:c r="H15" s="36" t="str"/>
      <x:c r="I15" s="34" t="str"/>
      <x:c r="J15" s="34" t="str"/>
    </x:row>
    <x:row r="16">
      <x:c r="A16" s="10" t="str">
        <x:v>G1</x:v>
      </x:c>
      <x:c r="B16" s="10" t="str">
        <x:v>G1.05</x:v>
      </x:c>
      <x:c r="C16" s="10" t="str">
        <x:v>Universe origin stable across SteamVR restart and PC reboot; base station pose readable</x:v>
      </x:c>
      <x:c r="D16" s="10" t="str">
        <x:v>ELTS Build Plan Gate G1</x:v>
      </x:c>
      <x:c r="E16" s="10" t="str">
        <x:v>Test output, document, measurement, or signed lab record that directly proves the criterion.</x:v>
      </x:c>
      <x:c r="F16" s="10" t="str">
        <x:v>Developer or assigned owner</x:v>
      </x:c>
      <x:c r="G16" s="10" t="str">
        <x:v>not_evaluated</x:v>
      </x:c>
      <x:c r="H16" s="35" t="str"/>
      <x:c r="I16" s="10" t="str"/>
      <x:c r="J16" s="10" t="str"/>
    </x:row>
    <x:row r="17">
      <x:c r="A17" s="34" t="str">
        <x:v>G1</x:v>
      </x:c>
      <x:c r="B17" s="34" t="str">
        <x:v>G1.06</x:v>
      </x:c>
      <x:c r="C17" s="34" t="str">
        <x:v>Two displays addressable from a standalone build; single-display case detected</x:v>
      </x:c>
      <x:c r="D17" s="34" t="str">
        <x:v>ELTS Build Plan Gate G1</x:v>
      </x:c>
      <x:c r="E17" s="34" t="str">
        <x:v>Test output, document, measurement, or signed lab record that directly proves the criterion.</x:v>
      </x:c>
      <x:c r="F17" s="34" t="str">
        <x:v>Developer or assigned owner</x:v>
      </x:c>
      <x:c r="G17" s="34" t="str">
        <x:v>not_evaluated</x:v>
      </x:c>
      <x:c r="H17" s="36" t="str"/>
      <x:c r="I17" s="34" t="str"/>
      <x:c r="J17" s="34" t="str"/>
    </x:row>
    <x:row r="18">
      <x:c r="A18" s="10" t="str">
        <x:v>G1</x:v>
      </x:c>
      <x:c r="B18" s="10" t="str">
        <x:v>G1.07</x:v>
      </x:c>
      <x:c r="C18" s="10" t="str">
        <x:v>docs/spikes.md records a finding for P1.4–P1.10</x:v>
      </x:c>
      <x:c r="D18" s="10" t="str">
        <x:v>ELTS Build Plan Gate G1</x:v>
      </x:c>
      <x:c r="E18" s="10" t="str">
        <x:v>Test output, document, measurement, or signed lab record that directly proves the criterion.</x:v>
      </x:c>
      <x:c r="F18" s="10" t="str">
        <x:v>Developer or assigned owner</x:v>
      </x:c>
      <x:c r="G18" s="10" t="str">
        <x:v>not_evaluated</x:v>
      </x:c>
      <x:c r="H18" s="35" t="str"/>
      <x:c r="I18" s="10" t="str"/>
      <x:c r="J18" s="10" t="str"/>
    </x:row>
    <x:row r="19">
      <x:c r="A19" s="34" t="str">
        <x:v>G1</x:v>
      </x:c>
      <x:c r="B19" s="34" t="str">
        <x:v>G1.08</x:v>
      </x:c>
      <x:c r="C19" s="34" t="str">
        <x:v>Headband mount built and passes the rigidity test; weapon parts on order or in hand</x:v>
      </x:c>
      <x:c r="D19" s="34" t="str">
        <x:v>ELTS Build Plan Gate G1</x:v>
      </x:c>
      <x:c r="E19" s="34" t="str">
        <x:v>Test output, document, measurement, or signed lab record that directly proves the criterion.</x:v>
      </x:c>
      <x:c r="F19" s="34" t="str">
        <x:v>Developer or assigned owner</x:v>
      </x:c>
      <x:c r="G19" s="34" t="str">
        <x:v>not_evaluated</x:v>
      </x:c>
      <x:c r="H19" s="36" t="str"/>
      <x:c r="I19" s="34" t="str"/>
      <x:c r="J19" s="34" t="str"/>
    </x:row>
    <x:row r="20">
      <x:c r="A20" s="10" t="str">
        <x:v>G2</x:v>
      </x:c>
      <x:c r="B20" s="10" t="str">
        <x:v>G2.01</x:v>
      </x:c>
      <x:c r="C20" s="10" t="str">
        <x:v>All EditMode geometry and config tests pass in CI</x:v>
      </x:c>
      <x:c r="D20" s="10" t="str">
        <x:v>ELTS Build Plan Gate G2</x:v>
      </x:c>
      <x:c r="E20" s="10" t="str">
        <x:v>Test output, document, measurement, or signed lab record that directly proves the criterion.</x:v>
      </x:c>
      <x:c r="F20" s="10" t="str">
        <x:v>Developer or assigned owner</x:v>
      </x:c>
      <x:c r="G20" s="10" t="str">
        <x:v>not_evaluated</x:v>
      </x:c>
      <x:c r="H20" s="35" t="str"/>
      <x:c r="I20" s="10" t="str"/>
      <x:c r="J20" s="10" t="str"/>
    </x:row>
    <x:row r="21">
      <x:c r="A21" s="34" t="str">
        <x:v>G2</x:v>
      </x:c>
      <x:c r="B21" s="34" t="str">
        <x:v>G2.02</x:v>
      </x:c>
      <x:c r="C21" s="34" t="str">
        <x:v>Real-tracker run (or synthetic if hardware not yet in) produces samples.csv, targets.csv, events.csv, session.json with full headers</x:v>
      </x:c>
      <x:c r="D21" s="34" t="str">
        <x:v>ELTS Build Plan Gate G2</x:v>
      </x:c>
      <x:c r="E21" s="34" t="str">
        <x:v>Test output, document, measurement, or signed lab record that directly proves the criterion.</x:v>
      </x:c>
      <x:c r="F21" s="34" t="str">
        <x:v>Developer or assigned owner</x:v>
      </x:c>
      <x:c r="G21" s="34" t="str">
        <x:v>not_evaluated</x:v>
      </x:c>
      <x:c r="H21" s="36" t="str"/>
      <x:c r="I21" s="34" t="str"/>
      <x:c r="J21" s="34" t="str"/>
    </x:row>
    <x:row r="22">
      <x:c r="A22" s="10" t="str">
        <x:v>G2</x:v>
      </x:c>
      <x:c r="B22" s="10" t="str">
        <x:v>G2.03</x:v>
      </x:c>
      <x:c r="C22" s="10" t="str">
        <x:v>30-minute soak: zero dropped samples, ≥ 245 Hz</x:v>
      </x:c>
      <x:c r="D22" s="10" t="str">
        <x:v>ELTS Build Plan Gate G2</x:v>
      </x:c>
      <x:c r="E22" s="10" t="str">
        <x:v>Test output, document, measurement, or signed lab record that directly proves the criterion.</x:v>
      </x:c>
      <x:c r="F22" s="10" t="str">
        <x:v>Developer or assigned owner</x:v>
      </x:c>
      <x:c r="G22" s="10" t="str">
        <x:v>not_evaluated</x:v>
      </x:c>
      <x:c r="H22" s="35" t="str"/>
      <x:c r="I22" s="10" t="str"/>
      <x:c r="J22" s="10" t="str"/>
    </x:row>
    <x:row r="23">
      <x:c r="A23" s="34" t="str">
        <x:v>G2</x:v>
      </x:c>
      <x:c r="B23" s="34" t="str">
        <x:v>G2.04</x:v>
      </x:c>
      <x:c r="C23" s="34" t="str">
        <x:v>Trigger edge → Shot event with 20 ms lockout verified</x:v>
      </x:c>
      <x:c r="D23" s="34" t="str">
        <x:v>ELTS Build Plan Gate G2</x:v>
      </x:c>
      <x:c r="E23" s="34" t="str">
        <x:v>Test output, document, measurement, or signed lab record that directly proves the criterion.</x:v>
      </x:c>
      <x:c r="F23" s="34" t="str">
        <x:v>Developer or assigned owner</x:v>
      </x:c>
      <x:c r="G23" s="34" t="str">
        <x:v>not_evaluated</x:v>
      </x:c>
      <x:c r="H23" s="36" t="str"/>
      <x:c r="I23" s="34" t="str"/>
      <x:c r="J23" s="34" t="str"/>
    </x:row>
    <x:row r="24">
      <x:c r="A24" s="10" t="str">
        <x:v>G2</x:v>
      </x:c>
      <x:c r="B24" s="10" t="str">
        <x:v>G2.05</x:v>
      </x:c>
      <x:c r="C24" s="10" t="str">
        <x:v>ingest.py parses the output and prints summaries</x:v>
      </x:c>
      <x:c r="D24" s="10" t="str">
        <x:v>ELTS Build Plan Gate G2</x:v>
      </x:c>
      <x:c r="E24" s="10" t="str">
        <x:v>Test output, document, measurement, or signed lab record that directly proves the criterion.</x:v>
      </x:c>
      <x:c r="F24" s="10" t="str">
        <x:v>Developer or assigned owner</x:v>
      </x:c>
      <x:c r="G24" s="10" t="str">
        <x:v>not_evaluated</x:v>
      </x:c>
      <x:c r="H24" s="35" t="str"/>
      <x:c r="I24" s="10" t="str"/>
      <x:c r="J24" s="10" t="str"/>
    </x:row>
    <x:row r="25">
      <x:c r="A25" s="34" t="str">
        <x:v>G2</x:v>
      </x:c>
      <x:c r="B25" s="34" t="str">
        <x:v>G2.06</x:v>
      </x:c>
      <x:c r="C25" s="34" t="str">
        <x:v>CI grep for foreign time sources passes</x:v>
      </x:c>
      <x:c r="D25" s="34" t="str">
        <x:v>ELTS Build Plan Gate G2</x:v>
      </x:c>
      <x:c r="E25" s="34" t="str">
        <x:v>Test output, document, measurement, or signed lab record that directly proves the criterion.</x:v>
      </x:c>
      <x:c r="F25" s="34" t="str">
        <x:v>Developer or assigned owner</x:v>
      </x:c>
      <x:c r="G25" s="34" t="str">
        <x:v>not_evaluated</x:v>
      </x:c>
      <x:c r="H25" s="36" t="str"/>
      <x:c r="I25" s="34" t="str"/>
      <x:c r="J25" s="34" t="str"/>
    </x:row>
    <x:row r="26">
      <x:c r="A26" s="10" t="str">
        <x:v>G3</x:v>
      </x:c>
      <x:c r="B26" s="10" t="str">
        <x:v>G3.01</x:v>
      </x:c>
      <x:c r="C26" s="10" t="str">
        <x:v>Off-axis projection unit test passes</x:v>
      </x:c>
      <x:c r="D26" s="10" t="str">
        <x:v>ELTS Build Plan Gate G3</x:v>
      </x:c>
      <x:c r="E26" s="10" t="str">
        <x:v>Test output, document, measurement, or signed lab record that directly proves the criterion.</x:v>
      </x:c>
      <x:c r="F26" s="10" t="str">
        <x:v>Developer or assigned owner</x:v>
      </x:c>
      <x:c r="G26" s="10" t="str">
        <x:v>not_evaluated</x:v>
      </x:c>
      <x:c r="H26" s="35" t="str"/>
      <x:c r="I26" s="10" t="str"/>
      <x:c r="J26" s="10" t="str"/>
    </x:row>
    <x:row r="27">
      <x:c r="A27" s="34" t="str">
        <x:v>G3</x:v>
      </x:c>
      <x:c r="B27" s="34" t="str">
        <x:v>G3.02</x:v>
      </x:c>
      <x:c r="C27" s="34" t="str">
        <x:v>Corner-rod alignment holds from three viewing positions</x:v>
      </x:c>
      <x:c r="D27" s="34" t="str">
        <x:v>ELTS Build Plan Gate G3</x:v>
      </x:c>
      <x:c r="E27" s="34" t="str">
        <x:v>Test output, document, measurement, or signed lab record that directly proves the criterion.</x:v>
      </x:c>
      <x:c r="F27" s="34" t="str">
        <x:v>Developer or assigned owner</x:v>
      </x:c>
      <x:c r="G27" s="34" t="str">
        <x:v>not_evaluated</x:v>
      </x:c>
      <x:c r="H27" s="36" t="str"/>
      <x:c r="I27" s="34" t="str"/>
      <x:c r="J27" s="34" t="str"/>
    </x:row>
    <x:row r="28">
      <x:c r="A28" s="10" t="str">
        <x:v>G3</x:v>
      </x:c>
      <x:c r="B28" s="10" t="str">
        <x:v>G3.03</x:v>
      </x:c>
      <x:c r="C28" s="10" t="str">
        <x:v>Operator view shows every §6.6 element; dropout indication is obvious</x:v>
      </x:c>
      <x:c r="D28" s="10" t="str">
        <x:v>ELTS Build Plan Gate G3</x:v>
      </x:c>
      <x:c r="E28" s="10" t="str">
        <x:v>Test output, document, measurement, or signed lab record that directly proves the criterion.</x:v>
      </x:c>
      <x:c r="F28" s="10" t="str">
        <x:v>Developer or assigned owner</x:v>
      </x:c>
      <x:c r="G28" s="10" t="str">
        <x:v>not_evaluated</x:v>
      </x:c>
      <x:c r="H28" s="35" t="str"/>
      <x:c r="I28" s="10" t="str"/>
      <x:c r="J28" s="10" t="str"/>
    </x:row>
    <x:row r="29">
      <x:c r="A29" s="34" t="str">
        <x:v>G3</x:v>
      </x:c>
      <x:c r="B29" s="34" t="str">
        <x:v>G3.04</x:v>
      </x:c>
      <x:c r="C29" s="34" t="str">
        <x:v>Operator view never appears on the participant display (verified by inspection of both outputs during a run)</x:v>
      </x:c>
      <x:c r="D29" s="34" t="str">
        <x:v>ELTS Build Plan Gate G3</x:v>
      </x:c>
      <x:c r="E29" s="34" t="str">
        <x:v>Test output, document, measurement, or signed lab record that directly proves the criterion.</x:v>
      </x:c>
      <x:c r="F29" s="34" t="str">
        <x:v>Developer or assigned owner</x:v>
      </x:c>
      <x:c r="G29" s="34" t="str">
        <x:v>not_evaluated</x:v>
      </x:c>
      <x:c r="H29" s="36" t="str"/>
      <x:c r="I29" s="34" t="str"/>
      <x:c r="J29" s="34" t="str"/>
    </x:row>
    <x:row r="30">
      <x:c r="A30" s="10" t="str">
        <x:v>G3</x:v>
      </x:c>
      <x:c r="B30" s="10" t="str">
        <x:v>G3.05</x:v>
      </x:c>
      <x:c r="C30" s="10" t="str">
        <x:v>Single-display refusal and identification splash work</x:v>
      </x:c>
      <x:c r="D30" s="10" t="str">
        <x:v>ELTS Build Plan Gate G3</x:v>
      </x:c>
      <x:c r="E30" s="10" t="str">
        <x:v>Test output, document, measurement, or signed lab record that directly proves the criterion.</x:v>
      </x:c>
      <x:c r="F30" s="10" t="str">
        <x:v>Developer or assigned owner</x:v>
      </x:c>
      <x:c r="G30" s="10" t="str">
        <x:v>not_evaluated</x:v>
      </x:c>
      <x:c r="H30" s="35" t="str"/>
      <x:c r="I30" s="10" t="str"/>
      <x:c r="J30" s="10" t="str"/>
    </x:row>
    <x:row r="31">
      <x:c r="A31" s="34" t="str">
        <x:v>G3</x:v>
      </x:c>
      <x:c r="B31" s="34" t="str">
        <x:v>G3.06</x:v>
      </x:c>
      <x:c r="C31" s="34" t="str">
        <x:v>Rendering prediction value chosen; logged pose confirmed unaffected</x:v>
      </x:c>
      <x:c r="D31" s="34" t="str">
        <x:v>ELTS Build Plan Gate G3</x:v>
      </x:c>
      <x:c r="E31" s="34" t="str">
        <x:v>Test output, document, measurement, or signed lab record that directly proves the criterion.</x:v>
      </x:c>
      <x:c r="F31" s="34" t="str">
        <x:v>Developer or assigned owner</x:v>
      </x:c>
      <x:c r="G31" s="34" t="str">
        <x:v>not_evaluated</x:v>
      </x:c>
      <x:c r="H31" s="36" t="str"/>
      <x:c r="I31" s="34" t="str"/>
      <x:c r="J31" s="34" t="str"/>
    </x:row>
    <x:row r="32">
      <x:c r="A32" s="10" t="str">
        <x:v>G3</x:v>
      </x:c>
      <x:c r="B32" s="10" t="str">
        <x:v>G3.07</x:v>
      </x:c>
      <x:c r="C32" s="10" t="str">
        <x:v>5-minute run at target refresh rate with no hitches</x:v>
      </x:c>
      <x:c r="D32" s="10" t="str">
        <x:v>ELTS Build Plan Gate G3</x:v>
      </x:c>
      <x:c r="E32" s="10" t="str">
        <x:v>Test output, document, measurement, or signed lab record that directly proves the criterion.</x:v>
      </x:c>
      <x:c r="F32" s="10" t="str">
        <x:v>Developer or assigned owner</x:v>
      </x:c>
      <x:c r="G32" s="10" t="str">
        <x:v>not_evaluated</x:v>
      </x:c>
      <x:c r="H32" s="35" t="str"/>
      <x:c r="I32" s="10" t="str"/>
      <x:c r="J32" s="10" t="str"/>
    </x:row>
    <x:row r="33">
      <x:c r="A33" s="34" t="str">
        <x:v>G3</x:v>
      </x:c>
      <x:c r="B33" s="34" t="str">
        <x:v>G3.08</x:v>
      </x:c>
      <x:c r="C33" s="34" t="str">
        <x:v>Replay works on a logged file</x:v>
      </x:c>
      <x:c r="D33" s="34" t="str">
        <x:v>ELTS Build Plan Gate G3</x:v>
      </x:c>
      <x:c r="E33" s="34" t="str">
        <x:v>Test output, document, measurement, or signed lab record that directly proves the criterion.</x:v>
      </x:c>
      <x:c r="F33" s="34" t="str">
        <x:v>Developer or assigned owner</x:v>
      </x:c>
      <x:c r="G33" s="34" t="str">
        <x:v>not_evaluated</x:v>
      </x:c>
      <x:c r="H33" s="36" t="str"/>
      <x:c r="I33" s="34" t="str"/>
      <x:c r="J33" s="34" t="str"/>
    </x:row>
    <x:row r="34">
      <x:c r="A34" s="10" t="str">
        <x:v>G4</x:v>
      </x:c>
      <x:c r="B34" s="10" t="str">
        <x:v>G4.01</x:v>
      </x:c>
      <x:c r="C34" s="10" t="str">
        <x:v>Two scenario files and the session template load and validate</x:v>
      </x:c>
      <x:c r="D34" s="10" t="str">
        <x:v>ELTS Build Plan Gate G4</x:v>
      </x:c>
      <x:c r="E34" s="10" t="str">
        <x:v>Test output, document, measurement, or signed lab record that directly proves the criterion.</x:v>
      </x:c>
      <x:c r="F34" s="10" t="str">
        <x:v>Developer or assigned owner</x:v>
      </x:c>
      <x:c r="G34" s="10" t="str">
        <x:v>not_evaluated</x:v>
      </x:c>
      <x:c r="H34" s="35" t="str"/>
      <x:c r="I34" s="10" t="str"/>
      <x:c r="J34" s="10" t="str"/>
    </x:row>
    <x:row r="35">
      <x:c r="A35" s="34" t="str">
        <x:v>G4</x:v>
      </x:c>
      <x:c r="B35" s="34" t="str">
        <x:v>G4.02</x:v>
      </x:c>
      <x:c r="C35" s="34" t="str">
        <x:v>Movement, spawn, shot, scoring plug-ins swappable by name from data</x:v>
      </x:c>
      <x:c r="D35" s="34" t="str">
        <x:v>ELTS Build Plan Gate G4</x:v>
      </x:c>
      <x:c r="E35" s="34" t="str">
        <x:v>Test output, document, measurement, or signed lab record that directly proves the criterion.</x:v>
      </x:c>
      <x:c r="F35" s="34" t="str">
        <x:v>Developer or assigned owner</x:v>
      </x:c>
      <x:c r="G35" s="34" t="str">
        <x:v>not_evaluated</x:v>
      </x:c>
      <x:c r="H35" s="36" t="str"/>
      <x:c r="I35" s="34" t="str"/>
      <x:c r="J35" s="34" t="str"/>
    </x:row>
    <x:row r="36">
      <x:c r="A36" s="10" t="str">
        <x:v>G4</x:v>
      </x:c>
      <x:c r="B36" s="10" t="str">
        <x:v>G4.03</x:v>
      </x:c>
      <x:c r="C36" s="10" t="str">
        <x:v>Block score reproducible from events.csv by ingest.py</x:v>
      </x:c>
      <x:c r="D36" s="10" t="str">
        <x:v>ELTS Build Plan Gate G4</x:v>
      </x:c>
      <x:c r="E36" s="10" t="str">
        <x:v>Test output, document, measurement, or signed lab record that directly proves the criterion.</x:v>
      </x:c>
      <x:c r="F36" s="10" t="str">
        <x:v>Developer or assigned owner</x:v>
      </x:c>
      <x:c r="G36" s="10" t="str">
        <x:v>not_evaluated</x:v>
      </x:c>
      <x:c r="H36" s="35" t="str"/>
      <x:c r="I36" s="10" t="str"/>
      <x:c r="J36" s="10" t="str"/>
    </x:row>
    <x:row r="37">
      <x:c r="A37" s="34" t="str">
        <x:v>G4</x:v>
      </x:c>
      <x:c r="B37" s="34" t="str">
        <x:v>G4.04</x:v>
      </x:c>
      <x:c r="C37" s="34" t="str">
        <x:v>Full dry session run from the operator screen; abort and re-run paths exercised</x:v>
      </x:c>
      <x:c r="D37" s="34" t="str">
        <x:v>ELTS Build Plan Gate G4</x:v>
      </x:c>
      <x:c r="E37" s="34" t="str">
        <x:v>Test output, document, measurement, or signed lab record that directly proves the criterion.</x:v>
      </x:c>
      <x:c r="F37" s="34" t="str">
        <x:v>Developer or assigned owner</x:v>
      </x:c>
      <x:c r="G37" s="34" t="str">
        <x:v>not_evaluated</x:v>
      </x:c>
      <x:c r="H37" s="36" t="str"/>
      <x:c r="I37" s="34" t="str"/>
      <x:c r="J37" s="34" t="str"/>
    </x:row>
    <x:row r="38">
      <x:c r="A38" s="10" t="str">
        <x:v>G4</x:v>
      </x:c>
      <x:c r="B38" s="10" t="str">
        <x:v>G4.05</x:v>
      </x:c>
      <x:c r="C38" s="10" t="str">
        <x:v>100% of spawns visible at spawn time</x:v>
      </x:c>
      <x:c r="D38" s="10" t="str">
        <x:v>ELTS Build Plan Gate G4</x:v>
      </x:c>
      <x:c r="E38" s="10" t="str">
        <x:v>Test output, document, measurement, or signed lab record that directly proves the criterion.</x:v>
      </x:c>
      <x:c r="F38" s="10" t="str">
        <x:v>Developer or assigned owner</x:v>
      </x:c>
      <x:c r="G38" s="10" t="str">
        <x:v>not_evaluated</x:v>
      </x:c>
      <x:c r="H38" s="35" t="str"/>
      <x:c r="I38" s="10" t="str"/>
      <x:c r="J38" s="10" t="str"/>
    </x:row>
    <x:row r="39">
      <x:c r="A39" s="34" t="str">
        <x:v>G4</x:v>
      </x:c>
      <x:c r="B39" s="34" t="str">
        <x:v>G4.06</x:v>
      </x:c>
      <x:c r="C39" s="34" t="str">
        <x:v>Every Appendix B.3 event type observed in a real run</x:v>
      </x:c>
      <x:c r="D39" s="34" t="str">
        <x:v>ELTS Build Plan Gate G4</x:v>
      </x:c>
      <x:c r="E39" s="34" t="str">
        <x:v>Test output, document, measurement, or signed lab record that directly proves the criterion.</x:v>
      </x:c>
      <x:c r="F39" s="34" t="str">
        <x:v>Developer or assigned owner</x:v>
      </x:c>
      <x:c r="G39" s="34" t="str">
        <x:v>not_evaluated</x:v>
      </x:c>
      <x:c r="H39" s="36" t="str"/>
      <x:c r="I39" s="34" t="str"/>
      <x:c r="J39" s="34" t="str"/>
    </x:row>
    <x:row r="40">
      <x:c r="A40" s="10" t="str">
        <x:v>G5</x:v>
      </x:c>
      <x:c r="B40" s="10" t="str">
        <x:v>G5.01</x:v>
      </x:c>
      <x:c r="C40" s="10" t="str">
        <x:v>Weapon integrated; bore ray runs along the barrel; tap test passed</x:v>
      </x:c>
      <x:c r="D40" s="10" t="str">
        <x:v>ELTS Build Plan Gate G5</x:v>
      </x:c>
      <x:c r="E40" s="10" t="str">
        <x:v>Test output, document, measurement, or signed lab record that directly proves the criterion.</x:v>
      </x:c>
      <x:c r="F40" s="10" t="str">
        <x:v>Developer or assigned owner</x:v>
      </x:c>
      <x:c r="G40" s="10" t="str">
        <x:v>not_evaluated</x:v>
      </x:c>
      <x:c r="H40" s="35" t="str"/>
      <x:c r="I40" s="10" t="str"/>
      <x:c r="J40" s="10" t="str"/>
    </x:row>
    <x:row r="41">
      <x:c r="A41" s="34" t="str">
        <x:v>G5</x:v>
      </x:c>
      <x:c r="B41" s="34" t="str">
        <x:v>G5.02</x:v>
      </x:c>
      <x:c r="C41" s="34" t="str">
        <x:v>Rig calibrations (pivot, corners) stored with residuals within provisional thresholds; corner rods align using probed values</x:v>
      </x:c>
      <x:c r="D41" s="34" t="str">
        <x:v>ELTS Build Plan Gate G5</x:v>
      </x:c>
      <x:c r="E41" s="34" t="str">
        <x:v>Test output, document, measurement, or signed lab record that directly proves the criterion.</x:v>
      </x:c>
      <x:c r="F41" s="34" t="str">
        <x:v>Developer or assigned owner</x:v>
      </x:c>
      <x:c r="G41" s="34" t="str">
        <x:v>not_evaluated</x:v>
      </x:c>
      <x:c r="H41" s="36" t="str"/>
      <x:c r="I41" s="34" t="str"/>
      <x:c r="J41" s="34" t="str"/>
    </x:row>
    <x:row r="42">
      <x:c r="A42" s="10" t="str">
        <x:v>G5</x:v>
      </x:c>
      <x:c r="B42" s="10" t="str">
        <x:v>G5.03</x:v>
      </x:c>
      <x:c r="C42" s="10" t="str">
        <x:v>Per-participant flows (dominant eye, eye offset, zero, 3×3) run end to end for three lab members; residuals within provisional thresholds</x:v>
      </x:c>
      <x:c r="D42" s="10" t="str">
        <x:v>ELTS Build Plan Gate G5</x:v>
      </x:c>
      <x:c r="E42" s="10" t="str">
        <x:v>Test output, document, measurement, or signed lab record that directly proves the criterion.</x:v>
      </x:c>
      <x:c r="F42" s="10" t="str">
        <x:v>Developer or assigned owner</x:v>
      </x:c>
      <x:c r="G42" s="10" t="str">
        <x:v>not_evaluated</x:v>
      </x:c>
      <x:c r="H42" s="35" t="str"/>
      <x:c r="I42" s="10" t="str"/>
      <x:c r="J42" s="10" t="str"/>
    </x:row>
    <x:row r="43">
      <x:c r="A43" s="34" t="str">
        <x:v>G5</x:v>
      </x:c>
      <x:c r="B43" s="34" t="str">
        <x:v>G5.04</x:v>
      </x:c>
      <x:c r="C43" s="34" t="str">
        <x:v>Daily bore-laser check procedure written and run on two days</x:v>
      </x:c>
      <x:c r="D43" s="34" t="str">
        <x:v>ELTS Build Plan Gate G5</x:v>
      </x:c>
      <x:c r="E43" s="34" t="str">
        <x:v>Test output, document, measurement, or signed lab record that directly proves the criterion.</x:v>
      </x:c>
      <x:c r="F43" s="34" t="str">
        <x:v>Developer or assigned owner</x:v>
      </x:c>
      <x:c r="G43" s="34" t="str">
        <x:v>not_evaluated</x:v>
      </x:c>
      <x:c r="H43" s="36" t="str"/>
      <x:c r="I43" s="34" t="str"/>
      <x:c r="J43" s="34" t="str"/>
    </x:row>
    <x:row r="44">
      <x:c r="A44" s="10" t="str">
        <x:v>G5</x:v>
      </x:c>
      <x:c r="B44" s="10" t="str">
        <x:v>G5.05</x:v>
      </x:c>
      <x:c r="C44" s="10" t="str">
        <x:v>Session flow enforces calibration before practice</x:v>
      </x:c>
      <x:c r="D44" s="10" t="str">
        <x:v>ELTS Build Plan Gate G5</x:v>
      </x:c>
      <x:c r="E44" s="10" t="str">
        <x:v>Test output, document, measurement, or signed lab record that directly proves the criterion.</x:v>
      </x:c>
      <x:c r="F44" s="10" t="str">
        <x:v>Developer or assigned owner</x:v>
      </x:c>
      <x:c r="G44" s="10" t="str">
        <x:v>not_evaluated</x:v>
      </x:c>
      <x:c r="H44" s="35" t="str"/>
      <x:c r="I44" s="10" t="str"/>
      <x:c r="J44" s="10" t="str"/>
    </x:row>
    <x:row r="45">
      <x:c r="A45" s="34" t="str">
        <x:v>G6</x:v>
      </x:c>
      <x:c r="B45" s="34" t="str">
        <x:v>G6.01</x:v>
      </x:c>
      <x:c r="C45" s="34" t="str">
        <x:v>Transport implemented on both ends; HELLO handshake in self-check</x:v>
      </x:c>
      <x:c r="D45" s="34" t="str">
        <x:v>ELTS Build Plan Gate G6</x:v>
      </x:c>
      <x:c r="E45" s="34" t="str">
        <x:v>Test output, document, measurement, or signed lab record that directly proves the criterion.</x:v>
      </x:c>
      <x:c r="F45" s="34" t="str">
        <x:v>Human approver and developer</x:v>
      </x:c>
      <x:c r="G45" s="34" t="str">
        <x:v>not_evaluated</x:v>
      </x:c>
      <x:c r="H45" s="36" t="str"/>
      <x:c r="I45" s="34" t="str"/>
      <x:c r="J45" s="34" t="str"/>
    </x:row>
    <x:row r="46">
      <x:c r="A46" s="10" t="str">
        <x:v>G6</x:v>
      </x:c>
      <x:c r="B46" s="10" t="str">
        <x:v>G6.02</x:v>
      </x:c>
      <x:c r="C46" s="10" t="str">
        <x:v>20-cycle link test passes; clock offsets logged and stable</x:v>
      </x:c>
      <x:c r="D46" s="10" t="str">
        <x:v>ELTS Build Plan Gate G6</x:v>
      </x:c>
      <x:c r="E46" s="10" t="str">
        <x:v>Test output, document, measurement, or signed lab record that directly proves the criterion.</x:v>
      </x:c>
      <x:c r="F46" s="10" t="str">
        <x:v>Human approver and developer</x:v>
      </x:c>
      <x:c r="G46" s="10" t="str">
        <x:v>not_evaluated</x:v>
      </x:c>
      <x:c r="H46" s="35" t="str"/>
      <x:c r="I46" s="10" t="str"/>
      <x:c r="J46" s="10" t="str"/>
    </x:row>
    <x:row r="47">
      <x:c r="A47" s="34" t="str">
        <x:v>G6</x:v>
      </x:c>
      <x:c r="B47" s="34" t="str">
        <x:v>G6.03</x:v>
      </x:c>
      <x:c r="C47" s="34" t="str">
        <x:v>All four fail-safe tests pass and are written up</x:v>
      </x:c>
      <x:c r="D47" s="34" t="str">
        <x:v>ELTS Build Plan Gate G6</x:v>
      </x:c>
      <x:c r="E47" s="34" t="str">
        <x:v>Test output, document, measurement, or signed lab record that directly proves the criterion.</x:v>
      </x:c>
      <x:c r="F47" s="34" t="str">
        <x:v>Human approver and developer</x:v>
      </x:c>
      <x:c r="G47" s="34" t="str">
        <x:v>not_evaluated</x:v>
      </x:c>
      <x:c r="H47" s="36" t="str"/>
      <x:c r="I47" s="34" t="str"/>
      <x:c r="J47" s="34" t="str"/>
    </x:row>
    <x:row r="48">
      <x:c r="A48" s="10" t="str">
        <x:v>G6</x:v>
      </x:c>
      <x:c r="B48" s="10" t="str">
        <x:v>G6.04</x:v>
      </x:c>
      <x:c r="C48" s="10" t="str">
        <x:v>WE blocks send start/stop; NE blocks send nothing (or per D-10)</x:v>
      </x:c>
      <x:c r="D48" s="10" t="str">
        <x:v>ELTS Build Plan Gate G6</x:v>
      </x:c>
      <x:c r="E48" s="10" t="str">
        <x:v>Test output, document, measurement, or signed lab record that directly proves the criterion.</x:v>
      </x:c>
      <x:c r="F48" s="10" t="str">
        <x:v>Human approver and developer</x:v>
      </x:c>
      <x:c r="G48" s="10" t="str">
        <x:v>not_evaluated</x:v>
      </x:c>
      <x:c r="H48" s="35" t="str"/>
      <x:c r="I48" s="10" t="str"/>
      <x:c r="J48" s="10" t="str"/>
    </x:row>
    <x:row r="49">
      <x:c r="A49" s="34" t="str">
        <x:v>G6</x:v>
      </x:c>
      <x:c r="B49" s="34" t="str">
        <x:v>G6.05</x:v>
      </x:c>
      <x:c r="C49" s="34" t="str">
        <x:v>Jetson-side event log producing data (if P6.9 adopted)</x:v>
      </x:c>
      <x:c r="D49" s="34" t="str">
        <x:v>ELTS Build Plan Gate G6</x:v>
      </x:c>
      <x:c r="E49" s="34" t="str">
        <x:v>Test output, document, measurement, or signed lab record that directly proves the criterion.</x:v>
      </x:c>
      <x:c r="F49" s="34" t="str">
        <x:v>Human approver and developer</x:v>
      </x:c>
      <x:c r="G49" s="34" t="str">
        <x:v>not_evaluated</x:v>
      </x:c>
      <x:c r="H49" s="36" t="str"/>
      <x:c r="I49" s="34" t="str"/>
      <x:c r="J49" s="34" t="str"/>
    </x:row>
    <x:row r="50">
      <x:c r="A50" s="10" t="str">
        <x:v>G7</x:v>
      </x:c>
      <x:c r="B50" s="10" t="str">
        <x:v>G7.01</x:v>
      </x:c>
      <x:c r="C50" s="10" t="str">
        <x:v>Write-ups exist for D.1–D.6 (D.8 optional), each with pass/fail</x:v>
      </x:c>
      <x:c r="D50" s="10" t="str">
        <x:v>ELTS Build Plan Gate G7</x:v>
      </x:c>
      <x:c r="E50" s="10" t="str">
        <x:v>Test output, document, measurement, or signed lab record that directly proves the criterion.</x:v>
      </x:c>
      <x:c r="F50" s="10" t="str">
        <x:v>Human approver and developer</x:v>
      </x:c>
      <x:c r="G50" s="10" t="str">
        <x:v>not_evaluated</x:v>
      </x:c>
      <x:c r="H50" s="35" t="str"/>
      <x:c r="I50" s="10" t="str"/>
      <x:c r="J50" s="10" t="str"/>
    </x:row>
    <x:row r="51">
      <x:c r="A51" s="34" t="str">
        <x:v>G7</x:v>
      </x:c>
      <x:c r="B51" s="34" t="str">
        <x:v>G7.02</x:v>
      </x:c>
      <x:c r="C51" s="34" t="str">
        <x:v>IR test: no measurable degradation with LEDs on; Brio IR confirmed inactive</x:v>
      </x:c>
      <x:c r="D51" s="34" t="str">
        <x:v>ELTS Build Plan Gate G7</x:v>
      </x:c>
      <x:c r="E51" s="34" t="str">
        <x:v>Test output, document, measurement, or signed lab record that directly proves the criterion.</x:v>
      </x:c>
      <x:c r="F51" s="34" t="str">
        <x:v>Human approver and developer</x:v>
      </x:c>
      <x:c r="G51" s="34" t="str">
        <x:v>not_evaluated</x:v>
      </x:c>
      <x:c r="H51" s="36" t="str"/>
      <x:c r="I51" s="34" t="str"/>
      <x:c r="J51" s="34" t="str"/>
    </x:row>
    <x:row r="52">
      <x:c r="A52" s="10" t="str">
        <x:v>G7</x:v>
      </x:c>
      <x:c r="B52" s="10" t="str">
        <x:v>G7.03</x:v>
      </x:c>
      <x:c r="C52" s="10" t="str">
        <x:v>Washout within threshold at all nine points</x:v>
      </x:c>
      <x:c r="D52" s="10" t="str">
        <x:v>ELTS Build Plan Gate G7</x:v>
      </x:c>
      <x:c r="E52" s="10" t="str">
        <x:v>Test output, document, measurement, or signed lab record that directly proves the criterion.</x:v>
      </x:c>
      <x:c r="F52" s="10" t="str">
        <x:v>Human approver and developer</x:v>
      </x:c>
      <x:c r="G52" s="10" t="str">
        <x:v>not_evaluated</x:v>
      </x:c>
      <x:c r="H52" s="35" t="str"/>
      <x:c r="I52" s="10" t="str"/>
      <x:c r="J52" s="10" t="str"/>
    </x:row>
    <x:row r="53">
      <x:c r="A53" s="34" t="str">
        <x:v>G7</x:v>
      </x:c>
      <x:c r="B53" s="34" t="str">
        <x:v>G7.04</x:v>
      </x:c>
      <x:c r="C53" s="34" t="str">
        <x:v>Occlusion fraction within threshold for all three testers</x:v>
      </x:c>
      <x:c r="D53" s="34" t="str">
        <x:v>ELTS Build Plan Gate G7</x:v>
      </x:c>
      <x:c r="E53" s="34" t="str">
        <x:v>Test output, document, measurement, or signed lab record that directly proves the criterion.</x:v>
      </x:c>
      <x:c r="F53" s="34" t="str">
        <x:v>Human approver and developer</x:v>
      </x:c>
      <x:c r="G53" s="34" t="str">
        <x:v>not_evaluated</x:v>
      </x:c>
      <x:c r="H53" s="36" t="str"/>
      <x:c r="I53" s="34" t="str"/>
      <x:c r="J53" s="34" t="str"/>
    </x:row>
    <x:row r="54">
      <x:c r="A54" s="10" t="str">
        <x:v>G7</x:v>
      </x:c>
      <x:c r="B54" s="10" t="str">
        <x:v>G7.05</x:v>
      </x:c>
      <x:c r="C54" s="10" t="str">
        <x:v>Registration accuracy figure recorded</x:v>
      </x:c>
      <x:c r="D54" s="10" t="str">
        <x:v>ELTS Build Plan Gate G7</x:v>
      </x:c>
      <x:c r="E54" s="10" t="str">
        <x:v>Test output, document, measurement, or signed lab record that directly proves the criterion.</x:v>
      </x:c>
      <x:c r="F54" s="10" t="str">
        <x:v>Human approver and developer</x:v>
      </x:c>
      <x:c r="G54" s="10" t="str">
        <x:v>not_evaluated</x:v>
      </x:c>
      <x:c r="H54" s="35" t="str"/>
      <x:c r="I54" s="10" t="str"/>
      <x:c r="J54" s="10" t="str"/>
    </x:row>
    <x:row r="55">
      <x:c r="A55" s="34" t="str">
        <x:v>G7</x:v>
      </x:c>
      <x:c r="B55" s="34" t="str">
        <x:v>G7.06</x:v>
      </x:c>
      <x:c r="C55" s="34" t="str">
        <x:v>Soak clean</x:v>
      </x:c>
      <x:c r="D55" s="34" t="str">
        <x:v>ELTS Build Plan Gate G7</x:v>
      </x:c>
      <x:c r="E55" s="34" t="str">
        <x:v>Test output, document, measurement, or signed lab record that directly proves the criterion.</x:v>
      </x:c>
      <x:c r="F55" s="34" t="str">
        <x:v>Human approver and developer</x:v>
      </x:c>
      <x:c r="G55" s="34" t="str">
        <x:v>not_evaluated</x:v>
      </x:c>
      <x:c r="H55" s="36" t="str"/>
      <x:c r="I55" s="34" t="str"/>
      <x:c r="J55" s="34" t="str"/>
    </x:row>
    <x:row r="56">
      <x:c r="A56" s="10" t="str">
        <x:v>G7</x:v>
      </x:c>
      <x:c r="B56" s="10" t="str">
        <x:v>G7.07</x:v>
      </x:c>
      <x:c r="C56" s="10" t="str">
        <x:v>Safety sheet complete; E-stop verified</x:v>
      </x:c>
      <x:c r="D56" s="10" t="str">
        <x:v>ELTS Build Plan Gate G7</x:v>
      </x:c>
      <x:c r="E56" s="10" t="str">
        <x:v>Test output, document, measurement, or signed lab record that directly proves the criterion.</x:v>
      </x:c>
      <x:c r="F56" s="10" t="str">
        <x:v>Human approver and developer</x:v>
      </x:c>
      <x:c r="G56" s="10" t="str">
        <x:v>not_evaluated</x:v>
      </x:c>
      <x:c r="H56" s="35" t="str"/>
      <x:c r="I56" s="10" t="str"/>
      <x:c r="J56" s="10" t="str"/>
    </x:row>
    <x:row r="57">
      <x:c r="A57" s="34" t="str">
        <x:v>G7</x:v>
      </x:c>
      <x:c r="B57" s="34" t="str">
        <x:v>G7.08</x:v>
      </x:c>
      <x:c r="C57" s="34" t="str">
        <x:v>Thresholds frozen</x:v>
      </x:c>
      <x:c r="D57" s="34" t="str">
        <x:v>ELTS Build Plan Gate G7</x:v>
      </x:c>
      <x:c r="E57" s="34" t="str">
        <x:v>Test output, document, measurement, or signed lab record that directly proves the criterion.</x:v>
      </x:c>
      <x:c r="F57" s="34" t="str">
        <x:v>Human approver and developer</x:v>
      </x:c>
      <x:c r="G57" s="34" t="str">
        <x:v>not_evaluated</x:v>
      </x:c>
      <x:c r="H57" s="36" t="str"/>
      <x:c r="I57" s="34" t="str"/>
      <x:c r="J57" s="34" t="str"/>
    </x:row>
    <x:row r="58">
      <x:c r="A58" s="10" t="str">
        <x:v>G8</x:v>
      </x:c>
      <x:c r="B58" s="10" t="str">
        <x:v>G8.01</x:v>
      </x:c>
      <x:c r="C58" s="10" t="str">
        <x:v>The Unity study build (a tagged, versioned standalone build — never the Editor) runs a complete session: participant setup → per-participant calibration → practice → four condition blocks with breaks → session close, driven entirely from the operator screen.</x:v>
      </x:c>
      <x:c r="D58" s="10" t="str">
        <x:v>ELTS Build Plan section 1.3</x:v>
      </x:c>
      <x:c r="E58" s="10" t="str">
        <x:v>Test output, document, measurement, or signed lab record that directly proves the criterion.</x:v>
      </x:c>
      <x:c r="F58" s="10" t="str">
        <x:v>Human approver and developer</x:v>
      </x:c>
      <x:c r="G58" s="10" t="str">
        <x:v>not_evaluated</x:v>
      </x:c>
      <x:c r="H58" s="35" t="str"/>
      <x:c r="I58" s="10" t="str"/>
      <x:c r="J58" s="10" t="str"/>
    </x:row>
    <x:row r="59">
      <x:c r="A59" s="34" t="str">
        <x:v>G8</x:v>
      </x:c>
      <x:c r="B59" s="34" t="str">
        <x:v>G8.02</x:v>
      </x:c>
      <x:c r="C59" s="34" t="str">
        <x:v>Both trackers are bound by serial number, report valid poses, and the trigger registers on the weapon tracker.</x:v>
      </x:c>
      <x:c r="D59" s="34" t="str">
        <x:v>ELTS Build Plan section 1.3</x:v>
      </x:c>
      <x:c r="E59" s="34" t="str">
        <x:v>Test output, document, measurement, or signed lab record that directly proves the criterion.</x:v>
      </x:c>
      <x:c r="F59" s="34" t="str">
        <x:v>Human approver and developer</x:v>
      </x:c>
      <x:c r="G59" s="34" t="str">
        <x:v>not_evaluated</x:v>
      </x:c>
      <x:c r="H59" s="36" t="str"/>
      <x:c r="I59" s="34" t="str"/>
      <x:c r="J59" s="34" t="str"/>
    </x:row>
    <x:row r="60">
      <x:c r="A60" s="10" t="str">
        <x:v>G8</x:v>
      </x:c>
      <x:c r="B60" s="10" t="str">
        <x:v>G8.03</x:v>
      </x:c>
      <x:c r="C60" s="10" t="str">
        <x:v>Rig-level calibration (pivot, screen corners) is stored, and the daily bore-laser check (Appendix C.6) passes.</x:v>
      </x:c>
      <x:c r="D60" s="10" t="str">
        <x:v>ELTS Build Plan section 1.3</x:v>
      </x:c>
      <x:c r="E60" s="10" t="str">
        <x:v>Test output, document, measurement, or signed lab record that directly proves the criterion.</x:v>
      </x:c>
      <x:c r="F60" s="10" t="str">
        <x:v>Human approver and developer</x:v>
      </x:c>
      <x:c r="G60" s="10" t="str">
        <x:v>not_evaluated</x:v>
      </x:c>
      <x:c r="H60" s="35" t="str"/>
      <x:c r="I60" s="10" t="str"/>
      <x:c r="J60" s="10" t="str"/>
    </x:row>
    <x:row r="61">
      <x:c r="A61" s="34" t="str">
        <x:v>G8</x:v>
      </x:c>
      <x:c r="B61" s="34" t="str">
        <x:v>G8.04</x:v>
      </x:c>
      <x:c r="C61" s="34" t="str">
        <x:v>Per-participant calibration flows (weapon zero, eye offset, 3×3 verification) run inside the application and write their results into the participant's data folder (Appendix A.5).</x:v>
      </x:c>
      <x:c r="D61" s="34" t="str">
        <x:v>ELTS Build Plan section 1.3</x:v>
      </x:c>
      <x:c r="E61" s="34" t="str">
        <x:v>Test output, document, measurement, or signed lab record that directly proves the criterion.</x:v>
      </x:c>
      <x:c r="F61" s="34" t="str">
        <x:v>Human approver and developer</x:v>
      </x:c>
      <x:c r="G61" s="34" t="str">
        <x:v>not_evaluated</x:v>
      </x:c>
      <x:c r="H61" s="36" t="str"/>
      <x:c r="I61" s="34" t="str"/>
      <x:c r="J61" s="34" t="str"/>
    </x:row>
    <x:row r="62">
      <x:c r="A62" s="10" t="str">
        <x:v>G8</x:v>
      </x:c>
      <x:c r="B62" s="10" t="str">
        <x:v>G8.05</x:v>
      </x:c>
      <x:c r="C62" s="10" t="str">
        <x:v>The stimulus display renders head-coupled perspective correctly (corner-rod check passes from three viewing positions), and the operator view shows everything listed in briefing §6.6.</x:v>
      </x:c>
      <x:c r="D62" s="10" t="str">
        <x:v>ELTS Build Plan section 1.3</x:v>
      </x:c>
      <x:c r="E62" s="10" t="str">
        <x:v>Test output, document, measurement, or signed lab record that directly proves the criterion.</x:v>
      </x:c>
      <x:c r="F62" s="10" t="str">
        <x:v>Human approver and developer</x:v>
      </x:c>
      <x:c r="G62" s="10" t="str">
        <x:v>not_evaluated</x:v>
      </x:c>
      <x:c r="H62" s="35" t="str"/>
      <x:c r="I62" s="10" t="str"/>
      <x:c r="J62" s="10" t="str"/>
    </x:row>
    <x:row r="63">
      <x:c r="A63" s="34" t="str">
        <x:v>G8</x:v>
      </x:c>
      <x:c r="B63" s="34" t="str">
        <x:v>G8.06</x:v>
      </x:c>
      <x:c r="C63" s="34" t="str">
        <x:v>Logging produces the full schema (Appendix B) at ~250 Hz with validity flags, plus events, plus a per-block target table, on one shared clock, with no dropped-sample warnings over a 30-minute soak.</x:v>
      </x:c>
      <x:c r="D63" s="34" t="str">
        <x:v>ELTS Build Plan section 1.3</x:v>
      </x:c>
      <x:c r="E63" s="34" t="str">
        <x:v>Test output, document, measurement, or signed lab record that directly proves the criterion.</x:v>
      </x:c>
      <x:c r="F63" s="34" t="str">
        <x:v>Human approver and developer</x:v>
      </x:c>
      <x:c r="G63" s="34" t="str">
        <x:v>not_evaluated</x:v>
      </x:c>
      <x:c r="H63" s="36" t="str"/>
      <x:c r="I63" s="34" t="str"/>
      <x:c r="J63" s="34" t="str"/>
    </x:row>
    <x:row r="64">
      <x:c r="A64" s="10" t="str">
        <x:v>G8</x:v>
      </x:c>
      <x:c r="B64" s="10" t="str">
        <x:v>G8.07</x:v>
      </x:c>
      <x:c r="C64" s="10" t="str">
        <x:v>ELTS start/stop commands are sent for WE blocks only, acknowledged with timestamps, aligned to the shared clock, and the heartbeat fail-safe has been demonstrated (kill Unity → LEDs off within the configured timeout).</x:v>
      </x:c>
      <x:c r="D64" s="10" t="str">
        <x:v>ELTS Build Plan section 1.3</x:v>
      </x:c>
      <x:c r="E64" s="10" t="str">
        <x:v>Test output, document, measurement, or signed lab record that directly proves the criterion.</x:v>
      </x:c>
      <x:c r="F64" s="10" t="str">
        <x:v>Human approver and developer</x:v>
      </x:c>
      <x:c r="G64" s="10" t="str">
        <x:v>not_evaluated</x:v>
      </x:c>
      <x:c r="H64" s="35" t="str"/>
      <x:c r="I64" s="10" t="str"/>
      <x:c r="J64" s="10" t="str"/>
    </x:row>
    <x:row r="65">
      <x:c r="A65" s="34" t="str">
        <x:v>G8</x:v>
      </x:c>
      <x:c r="B65" s="34" t="str">
        <x:v>G8.08</x:v>
      </x:c>
      <x:c r="C65" s="34" t="str">
        <x:v>All Phase 7 bench tests pass and are written up.</x:v>
      </x:c>
      <x:c r="D65" s="34" t="str">
        <x:v>ELTS Build Plan section 1.3</x:v>
      </x:c>
      <x:c r="E65" s="34" t="str">
        <x:v>Test output, document, measurement, or signed lab record that directly proves the criterion.</x:v>
      </x:c>
      <x:c r="F65" s="34" t="str">
        <x:v>Human approver and developer</x:v>
      </x:c>
      <x:c r="G65" s="34" t="str">
        <x:v>not_evaluated</x:v>
      </x:c>
      <x:c r="H65" s="36" t="str"/>
      <x:c r="I65" s="34" t="str"/>
      <x:c r="J65" s="34" t="str"/>
    </x:row>
    <x:row r="66">
      <x:c r="A66" s="10" t="str">
        <x:v>G8</x:v>
      </x:c>
      <x:c r="B66" s="10" t="str">
        <x:v>G8.09</x:v>
      </x:c>
      <x:c r="C66" s="10" t="str">
        <x:v>At least three complete pilot sessions (non-data) have been run with the final build, and the analysis ingest script has successfully processed their output end to end.</x:v>
      </x:c>
      <x:c r="D66" s="10" t="str">
        <x:v>ELTS Build Plan section 1.3</x:v>
      </x:c>
      <x:c r="E66" s="10" t="str">
        <x:v>Test output, document, measurement, or signed lab record that directly proves the criterion.</x:v>
      </x:c>
      <x:c r="F66" s="10" t="str">
        <x:v>Human approver and developer</x:v>
      </x:c>
      <x:c r="G66" s="10" t="str">
        <x:v>not_evaluated</x:v>
      </x:c>
      <x:c r="H66" s="35" t="str"/>
      <x:c r="I66" s="10" t="str"/>
      <x:c r="J66" s="10" t="str"/>
    </x:row>
    <x:row r="67">
      <x:c r="A67" s="41" t="str">
        <x:v>G8</x:v>
      </x:c>
      <x:c r="B67" s="41" t="str">
        <x:v>G8.10</x:v>
      </x:c>
      <x:c r="C67" s="41" t="str">
        <x:v>Every Decision Register (§15) item is closed, except D-15, which is informational only.</x:v>
      </x:c>
      <x:c r="D67" s="41" t="str">
        <x:v>ELTS Build Plan section 1.3</x:v>
      </x:c>
      <x:c r="E67" s="41" t="str">
        <x:v>Test output, document, measurement, or signed lab record that directly proves the criterion.</x:v>
      </x:c>
      <x:c r="F67" s="41" t="str">
        <x:v>Human approver and developer</x:v>
      </x:c>
      <x:c r="G67" s="41" t="str">
        <x:v>not_evaluated</x:v>
      </x:c>
      <x:c r="H67" s="42" t="str"/>
      <x:c r="I67" s="41" t="str"/>
      <x:c r="J67" s="41" t="str"/>
    </x:row>
  </x:sheetData>
  <x:mergeCells>
    <x:mergeCell ref="A1:J1"/>
    <x:mergeCell ref="A2:J2"/>
  </x:mergeCells>
  <x:conditionalFormatting sqref="G6:G67">
    <x:cfRule type="containsText" dxfId="21" priority="1" operator="containsText" text="done"/>
    <x:cfRule type="containsText" dxfId="22" priority="2" operator="containsText" text="passed"/>
    <x:cfRule type="containsText" dxfId="23" priority="3" operator="containsText" text="in_progress"/>
    <x:cfRule type="containsText" dxfId="24" priority="4" operator="containsText" text="verification_pending"/>
    <x:cfRule type="containsText" dxfId="25" priority="5" operator="containsText" text="ready"/>
    <x:cfRule type="containsText" dxfId="26" priority="6" operator="containsText" text="blocked"/>
    <x:cfRule type="containsText" dxfId="27" priority="7" operator="containsText" text="fail"/>
  </x:conditionalFormatting>
  <x:dataValidations count="1">
    <x:dataValidation type="list" sqref="G6:G67">
      <x:formula1>"not_evaluated,pass,fail,blocked,not_applicable"</x:formula1>
    </x:dataValidation>
  </x:dataValidations>
  <x:pageMargins left="0.7" right="0.7" top="0.75" bottom="0.75" header="0.3" footer="0.3"/>
  <x:tableParts count="1">
    <x:tablePart xmlns:r="http://schemas.openxmlformats.org/officeDocument/2006/relationships" r:id="R34c6b8a85f12469f"/>
  </x:tableParts>
</x:worksheet>
</file>

<file path=xl/worksheets/sheet8.xml><?xml version="1.0" encoding="utf-8"?>
<x:worksheet xmlns:x="http://schemas.openxmlformats.org/spreadsheetml/2006/main">
  <x:sheetPr>
    <x:tabColor rgb="FFA5A5A5"/>
  </x:sheetPr>
  <x:sheetViews>
    <x:sheetView showGridLines="0" workbookViewId="0">
      <x:pane xSplit="3" ySplit="5" topLeftCell="D6" activePane="bottomRight" state="frozen"/>
    </x:sheetView>
  </x:sheetViews>
  <x:sheetFormatPr defaultRowHeight="15"/>
  <x:cols>
    <x:col min="1" max="1" width="15" hidden="0" customWidth="1"/>
    <x:col min="2" max="2" width="17" hidden="0" customWidth="1"/>
    <x:col min="3" max="3" width="17" hidden="0" customWidth="1"/>
    <x:col min="4" max="4" width="15" hidden="0" customWidth="1"/>
    <x:col min="5" max="5" width="17" hidden="0" customWidth="1"/>
    <x:col min="6" max="6" width="17" hidden="0" customWidth="1"/>
    <x:col min="7" max="7" width="68" hidden="0" customWidth="1"/>
    <x:col min="8" max="8" width="25" hidden="0" customWidth="1"/>
    <x:col min="9" max="9" width="30" hidden="0" customWidth="1"/>
  </x:cols>
  <x:sheetData>
    <x:row r="1" ht="28" customHeight="1">
      <x:c r="A1" s="1" t="str">
        <x:v>Dependency register</x:v>
      </x:c>
    </x:row>
    <x:row r="2">
      <x:c r="A2" s="2" t="str">
        <x:v>Normalized edge list for eligibility calculation. Conditional exceptions are stated explicitly.</x:v>
      </x:c>
    </x:row>
    <x:row r="3">
      <x:c r="A3" s="3"/>
      <x:c r="B3" s="3"/>
      <x:c r="C3" s="3"/>
      <x:c r="D3" s="3"/>
      <x:c r="E3" s="3"/>
      <x:c r="F3" s="3"/>
      <x:c r="G3" s="3"/>
      <x:c r="H3" s="3"/>
      <x:c r="I3" s="3"/>
    </x:row>
    <x:row r="5" ht="32" customHeight="1">
      <x:c r="A5" s="31" t="str">
        <x:v>Dependency ID</x:v>
      </x:c>
      <x:c r="B5" s="31" t="str">
        <x:v>Predecessor ID</x:v>
      </x:c>
      <x:c r="C5" s="31" t="str">
        <x:v>Successor ID</x:v>
      </x:c>
      <x:c r="D5" s="31" t="str">
        <x:v>Relation</x:v>
      </x:c>
      <x:c r="E5" s="31" t="str">
        <x:v>Hard Dependency</x:v>
      </x:c>
      <x:c r="F5" s="31" t="str">
        <x:v>Required State</x:v>
      </x:c>
      <x:c r="G5" s="31" t="str">
        <x:v>Condition</x:v>
      </x:c>
      <x:c r="H5" s="31" t="str">
        <x:v>Source</x:v>
      </x:c>
      <x:c r="I5" s="31" t="str">
        <x:v>Notes</x:v>
      </x:c>
    </x:row>
    <x:row r="6">
      <x:c r="A6" s="10" t="str">
        <x:v>DEP-0001</x:v>
      </x:c>
      <x:c r="B6" s="10" t="str">
        <x:v>D-11</x:v>
      </x:c>
      <x:c r="C6" s="10" t="str">
        <x:v>P0.1</x:v>
      </x:c>
      <x:c r="D6" s="10" t="str">
        <x:v>blocks</x:v>
      </x:c>
      <x:c r="E6" s="10" t="str">
        <x:v>yes</x:v>
      </x:c>
      <x:c r="F6" s="10" t="str">
        <x:v>decided</x:v>
      </x:c>
      <x:c r="G6" s="10" t="str">
        <x:v>All listed conditions apply unless an accepted ADR states otherwise.</x:v>
      </x:c>
      <x:c r="H6" s="10" t="str">
        <x:v>ELTS Build Plan P0.1</x:v>
      </x:c>
      <x:c r="I6" s="10" t="str"/>
    </x:row>
    <x:row r="7">
      <x:c r="A7" s="34" t="str">
        <x:v>DEP-0002</x:v>
      </x:c>
      <x:c r="B7" s="34" t="str">
        <x:v>D-12</x:v>
      </x:c>
      <x:c r="C7" s="34" t="str">
        <x:v>P0.5</x:v>
      </x:c>
      <x:c r="D7" s="34" t="str">
        <x:v>blocks</x:v>
      </x:c>
      <x:c r="E7" s="34" t="str">
        <x:v>yes</x:v>
      </x:c>
      <x:c r="F7" s="34" t="str">
        <x:v>decided</x:v>
      </x:c>
      <x:c r="G7" s="34" t="str">
        <x:v>All listed conditions apply unless an accepted ADR states otherwise.</x:v>
      </x:c>
      <x:c r="H7" s="34" t="str">
        <x:v>ELTS Build Plan P0.5</x:v>
      </x:c>
      <x:c r="I7" s="34" t="str"/>
    </x:row>
    <x:row r="8">
      <x:c r="A8" s="10" t="str">
        <x:v>DEP-0003</x:v>
      </x:c>
      <x:c r="B8" s="10" t="str">
        <x:v>D-13</x:v>
      </x:c>
      <x:c r="C8" s="10" t="str">
        <x:v>P0.6</x:v>
      </x:c>
      <x:c r="D8" s="10" t="str">
        <x:v>blocks</x:v>
      </x:c>
      <x:c r="E8" s="10" t="str">
        <x:v>yes</x:v>
      </x:c>
      <x:c r="F8" s="10" t="str">
        <x:v>decided</x:v>
      </x:c>
      <x:c r="G8" s="10" t="str">
        <x:v>All listed conditions apply unless an accepted ADR states otherwise.</x:v>
      </x:c>
      <x:c r="H8" s="10" t="str">
        <x:v>ELTS Build Plan P0.6</x:v>
      </x:c>
      <x:c r="I8" s="10" t="str"/>
    </x:row>
    <x:row r="9">
      <x:c r="A9" s="34" t="str">
        <x:v>DEP-0004</x:v>
      </x:c>
      <x:c r="B9" s="34" t="str">
        <x:v>D-14</x:v>
      </x:c>
      <x:c r="C9" s="34" t="str">
        <x:v>P0.6</x:v>
      </x:c>
      <x:c r="D9" s="34" t="str">
        <x:v>blocks</x:v>
      </x:c>
      <x:c r="E9" s="34" t="str">
        <x:v>yes</x:v>
      </x:c>
      <x:c r="F9" s="34" t="str">
        <x:v>decided</x:v>
      </x:c>
      <x:c r="G9" s="34" t="str">
        <x:v>All listed conditions apply unless an accepted ADR states otherwise.</x:v>
      </x:c>
      <x:c r="H9" s="34" t="str">
        <x:v>ELTS Build Plan P0.6</x:v>
      </x:c>
      <x:c r="I9" s="34" t="str"/>
    </x:row>
    <x:row r="10">
      <x:c r="A10" s="10" t="str">
        <x:v>DEP-0005</x:v>
      </x:c>
      <x:c r="B10" s="10" t="str">
        <x:v>D-01</x:v>
      </x:c>
      <x:c r="C10" s="10" t="str">
        <x:v>P0.7</x:v>
      </x:c>
      <x:c r="D10" s="10" t="str">
        <x:v>blocks</x:v>
      </x:c>
      <x:c r="E10" s="10" t="str">
        <x:v>yes</x:v>
      </x:c>
      <x:c r="F10" s="10" t="str">
        <x:v>decided</x:v>
      </x:c>
      <x:c r="G10" s="10" t="str">
        <x:v>All listed conditions apply unless an accepted ADR states otherwise.</x:v>
      </x:c>
      <x:c r="H10" s="10" t="str">
        <x:v>ELTS Build Plan P0.7</x:v>
      </x:c>
      <x:c r="I10" s="10" t="str"/>
    </x:row>
    <x:row r="11">
      <x:c r="A11" s="34" t="str">
        <x:v>DEP-0006</x:v>
      </x:c>
      <x:c r="B11" s="34" t="str">
        <x:v>D-02</x:v>
      </x:c>
      <x:c r="C11" s="34" t="str">
        <x:v>P0.7</x:v>
      </x:c>
      <x:c r="D11" s="34" t="str">
        <x:v>blocks</x:v>
      </x:c>
      <x:c r="E11" s="34" t="str">
        <x:v>yes</x:v>
      </x:c>
      <x:c r="F11" s="34" t="str">
        <x:v>decided</x:v>
      </x:c>
      <x:c r="G11" s="34" t="str">
        <x:v>All listed conditions apply unless an accepted ADR states otherwise.</x:v>
      </x:c>
      <x:c r="H11" s="34" t="str">
        <x:v>ELTS Build Plan P0.7</x:v>
      </x:c>
      <x:c r="I11" s="34" t="str"/>
    </x:row>
    <x:row r="12">
      <x:c r="A12" s="10" t="str">
        <x:v>DEP-0007</x:v>
      </x:c>
      <x:c r="B12" s="10" t="str">
        <x:v>G0</x:v>
      </x:c>
      <x:c r="C12" s="10" t="str">
        <x:v>P1.1</x:v>
      </x:c>
      <x:c r="D12" s="10" t="str">
        <x:v>unlocks</x:v>
      </x:c>
      <x:c r="E12" s="10" t="str">
        <x:v>yes</x:v>
      </x:c>
      <x:c r="F12" s="10" t="str">
        <x:v>passed</x:v>
      </x:c>
      <x:c r="G12" s="10" t="str">
        <x:v>All listed conditions apply unless an accepted ADR states otherwise.</x:v>
      </x:c>
      <x:c r="H12" s="10" t="str">
        <x:v>ELTS Build Plan P1.1</x:v>
      </x:c>
      <x:c r="I12" s="10" t="str"/>
    </x:row>
    <x:row r="13">
      <x:c r="A13" s="34" t="str">
        <x:v>DEP-0008</x:v>
      </x:c>
      <x:c r="B13" s="34" t="str">
        <x:v>D-02</x:v>
      </x:c>
      <x:c r="C13" s="34" t="str">
        <x:v>P1.1</x:v>
      </x:c>
      <x:c r="D13" s="34" t="str">
        <x:v>blocks</x:v>
      </x:c>
      <x:c r="E13" s="34" t="str">
        <x:v>yes</x:v>
      </x:c>
      <x:c r="F13" s="34" t="str">
        <x:v>decided</x:v>
      </x:c>
      <x:c r="G13" s="34" t="str">
        <x:v>All listed conditions apply unless an accepted ADR states otherwise.</x:v>
      </x:c>
      <x:c r="H13" s="34" t="str">
        <x:v>ELTS Build Plan P1.1</x:v>
      </x:c>
      <x:c r="I13" s="34" t="str"/>
    </x:row>
    <x:row r="14">
      <x:c r="A14" s="10" t="str">
        <x:v>DEP-0009</x:v>
      </x:c>
      <x:c r="B14" s="10" t="str">
        <x:v>G0</x:v>
      </x:c>
      <x:c r="C14" s="10" t="str">
        <x:v>P1.2</x:v>
      </x:c>
      <x:c r="D14" s="10" t="str">
        <x:v>unlocks</x:v>
      </x:c>
      <x:c r="E14" s="10" t="str">
        <x:v>yes</x:v>
      </x:c>
      <x:c r="F14" s="10" t="str">
        <x:v>passed</x:v>
      </x:c>
      <x:c r="G14" s="10" t="str">
        <x:v>All listed conditions apply unless an accepted ADR states otherwise.</x:v>
      </x:c>
      <x:c r="H14" s="10" t="str">
        <x:v>ELTS Build Plan P1.2</x:v>
      </x:c>
      <x:c r="I14" s="10" t="str"/>
    </x:row>
    <x:row r="15">
      <x:c r="A15" s="34" t="str">
        <x:v>DEP-0010</x:v>
      </x:c>
      <x:c r="B15" s="34" t="str">
        <x:v>P1.1</x:v>
      </x:c>
      <x:c r="C15" s="34" t="str">
        <x:v>P1.2</x:v>
      </x:c>
      <x:c r="D15" s="34" t="str">
        <x:v>requires</x:v>
      </x:c>
      <x:c r="E15" s="34" t="str">
        <x:v>yes</x:v>
      </x:c>
      <x:c r="F15" s="34" t="str">
        <x:v>done</x:v>
      </x:c>
      <x:c r="G15" s="34" t="str">
        <x:v>All listed conditions apply unless an accepted ADR states otherwise.</x:v>
      </x:c>
      <x:c r="H15" s="34" t="str">
        <x:v>ELTS Build Plan P1.2</x:v>
      </x:c>
      <x:c r="I15" s="34" t="str"/>
    </x:row>
    <x:row r="16">
      <x:c r="A16" s="10" t="str">
        <x:v>DEP-0011</x:v>
      </x:c>
      <x:c r="B16" s="10" t="str">
        <x:v>G0</x:v>
      </x:c>
      <x:c r="C16" s="10" t="str">
        <x:v>P1.3</x:v>
      </x:c>
      <x:c r="D16" s="10" t="str">
        <x:v>unlocks</x:v>
      </x:c>
      <x:c r="E16" s="10" t="str">
        <x:v>yes</x:v>
      </x:c>
      <x:c r="F16" s="10" t="str">
        <x:v>passed</x:v>
      </x:c>
      <x:c r="G16" s="10" t="str">
        <x:v>All listed conditions apply unless an accepted ADR states otherwise.</x:v>
      </x:c>
      <x:c r="H16" s="10" t="str">
        <x:v>ELTS Build Plan P1.3</x:v>
      </x:c>
      <x:c r="I16" s="10" t="str"/>
    </x:row>
    <x:row r="17">
      <x:c r="A17" s="34" t="str">
        <x:v>DEP-0012</x:v>
      </x:c>
      <x:c r="B17" s="34" t="str">
        <x:v>P1.2</x:v>
      </x:c>
      <x:c r="C17" s="34" t="str">
        <x:v>P1.3</x:v>
      </x:c>
      <x:c r="D17" s="34" t="str">
        <x:v>requires</x:v>
      </x:c>
      <x:c r="E17" s="34" t="str">
        <x:v>yes</x:v>
      </x:c>
      <x:c r="F17" s="34" t="str">
        <x:v>done</x:v>
      </x:c>
      <x:c r="G17" s="34" t="str">
        <x:v>All listed conditions apply unless an accepted ADR states otherwise.</x:v>
      </x:c>
      <x:c r="H17" s="34" t="str">
        <x:v>ELTS Build Plan P1.3</x:v>
      </x:c>
      <x:c r="I17" s="34" t="str"/>
    </x:row>
    <x:row r="18">
      <x:c r="A18" s="10" t="str">
        <x:v>DEP-0013</x:v>
      </x:c>
      <x:c r="B18" s="10" t="str">
        <x:v>G0</x:v>
      </x:c>
      <x:c r="C18" s="10" t="str">
        <x:v>P1.4</x:v>
      </x:c>
      <x:c r="D18" s="10" t="str">
        <x:v>unlocks</x:v>
      </x:c>
      <x:c r="E18" s="10" t="str">
        <x:v>yes</x:v>
      </x:c>
      <x:c r="F18" s="10" t="str">
        <x:v>passed</x:v>
      </x:c>
      <x:c r="G18" s="10" t="str">
        <x:v>All listed conditions apply unless an accepted ADR states otherwise.</x:v>
      </x:c>
      <x:c r="H18" s="10" t="str">
        <x:v>ELTS Build Plan P1.4</x:v>
      </x:c>
      <x:c r="I18" s="10" t="str"/>
    </x:row>
    <x:row r="19">
      <x:c r="A19" s="34" t="str">
        <x:v>DEP-0014</x:v>
      </x:c>
      <x:c r="B19" s="34" t="str">
        <x:v>P1.2</x:v>
      </x:c>
      <x:c r="C19" s="34" t="str">
        <x:v>P1.4</x:v>
      </x:c>
      <x:c r="D19" s="34" t="str">
        <x:v>requires</x:v>
      </x:c>
      <x:c r="E19" s="34" t="str">
        <x:v>yes</x:v>
      </x:c>
      <x:c r="F19" s="34" t="str">
        <x:v>done</x:v>
      </x:c>
      <x:c r="G19" s="34" t="str">
        <x:v>All listed conditions apply unless an accepted ADR states otherwise.</x:v>
      </x:c>
      <x:c r="H19" s="34" t="str">
        <x:v>ELTS Build Plan P1.4</x:v>
      </x:c>
      <x:c r="I19" s="34" t="str"/>
    </x:row>
    <x:row r="20">
      <x:c r="A20" s="10" t="str">
        <x:v>DEP-0015</x:v>
      </x:c>
      <x:c r="B20" s="10" t="str">
        <x:v>G0</x:v>
      </x:c>
      <x:c r="C20" s="10" t="str">
        <x:v>P1.5</x:v>
      </x:c>
      <x:c r="D20" s="10" t="str">
        <x:v>unlocks</x:v>
      </x:c>
      <x:c r="E20" s="10" t="str">
        <x:v>yes</x:v>
      </x:c>
      <x:c r="F20" s="10" t="str">
        <x:v>passed</x:v>
      </x:c>
      <x:c r="G20" s="10" t="str">
        <x:v>All listed conditions apply unless an accepted ADR states otherwise.</x:v>
      </x:c>
      <x:c r="H20" s="10" t="str">
        <x:v>ELTS Build Plan P1.5</x:v>
      </x:c>
      <x:c r="I20" s="10" t="str"/>
    </x:row>
    <x:row r="21">
      <x:c r="A21" s="34" t="str">
        <x:v>DEP-0016</x:v>
      </x:c>
      <x:c r="B21" s="34" t="str">
        <x:v>P1.3</x:v>
      </x:c>
      <x:c r="C21" s="34" t="str">
        <x:v>P1.5</x:v>
      </x:c>
      <x:c r="D21" s="34" t="str">
        <x:v>requires</x:v>
      </x:c>
      <x:c r="E21" s="34" t="str">
        <x:v>yes</x:v>
      </x:c>
      <x:c r="F21" s="34" t="str">
        <x:v>done</x:v>
      </x:c>
      <x:c r="G21" s="34" t="str">
        <x:v>All listed conditions apply unless an accepted ADR states otherwise.</x:v>
      </x:c>
      <x:c r="H21" s="34" t="str">
        <x:v>ELTS Build Plan P1.5</x:v>
      </x:c>
      <x:c r="I21" s="34" t="str"/>
    </x:row>
    <x:row r="22">
      <x:c r="A22" s="10" t="str">
        <x:v>DEP-0017</x:v>
      </x:c>
      <x:c r="B22" s="10" t="str">
        <x:v>P1.4</x:v>
      </x:c>
      <x:c r="C22" s="10" t="str">
        <x:v>P1.5</x:v>
      </x:c>
      <x:c r="D22" s="10" t="str">
        <x:v>requires</x:v>
      </x:c>
      <x:c r="E22" s="10" t="str">
        <x:v>yes</x:v>
      </x:c>
      <x:c r="F22" s="10" t="str">
        <x:v>done</x:v>
      </x:c>
      <x:c r="G22" s="10" t="str">
        <x:v>All listed conditions apply unless an accepted ADR states otherwise.</x:v>
      </x:c>
      <x:c r="H22" s="10" t="str">
        <x:v>ELTS Build Plan P1.5</x:v>
      </x:c>
      <x:c r="I22" s="10" t="str"/>
    </x:row>
    <x:row r="23">
      <x:c r="A23" s="34" t="str">
        <x:v>DEP-0018</x:v>
      </x:c>
      <x:c r="B23" s="34" t="str">
        <x:v>G0</x:v>
      </x:c>
      <x:c r="C23" s="34" t="str">
        <x:v>P1.6</x:v>
      </x:c>
      <x:c r="D23" s="34" t="str">
        <x:v>unlocks</x:v>
      </x:c>
      <x:c r="E23" s="34" t="str">
        <x:v>yes</x:v>
      </x:c>
      <x:c r="F23" s="34" t="str">
        <x:v>passed</x:v>
      </x:c>
      <x:c r="G23" s="34" t="str">
        <x:v>All listed conditions apply unless an accepted ADR states otherwise.</x:v>
      </x:c>
      <x:c r="H23" s="34" t="str">
        <x:v>ELTS Build Plan P1.6</x:v>
      </x:c>
      <x:c r="I23" s="34" t="str"/>
    </x:row>
    <x:row r="24">
      <x:c r="A24" s="10" t="str">
        <x:v>DEP-0019</x:v>
      </x:c>
      <x:c r="B24" s="10" t="str">
        <x:v>P1.4</x:v>
      </x:c>
      <x:c r="C24" s="10" t="str">
        <x:v>P1.6</x:v>
      </x:c>
      <x:c r="D24" s="10" t="str">
        <x:v>requires</x:v>
      </x:c>
      <x:c r="E24" s="10" t="str">
        <x:v>yes</x:v>
      </x:c>
      <x:c r="F24" s="10" t="str">
        <x:v>done</x:v>
      </x:c>
      <x:c r="G24" s="10" t="str">
        <x:v>All listed conditions apply unless an accepted ADR states otherwise.</x:v>
      </x:c>
      <x:c r="H24" s="10" t="str">
        <x:v>ELTS Build Plan P1.6</x:v>
      </x:c>
      <x:c r="I24" s="10" t="str"/>
    </x:row>
    <x:row r="25">
      <x:c r="A25" s="34" t="str">
        <x:v>DEP-0020</x:v>
      </x:c>
      <x:c r="B25" s="34" t="str">
        <x:v>G0</x:v>
      </x:c>
      <x:c r="C25" s="34" t="str">
        <x:v>P1.7</x:v>
      </x:c>
      <x:c r="D25" s="34" t="str">
        <x:v>unlocks</x:v>
      </x:c>
      <x:c r="E25" s="34" t="str">
        <x:v>yes</x:v>
      </x:c>
      <x:c r="F25" s="34" t="str">
        <x:v>passed</x:v>
      </x:c>
      <x:c r="G25" s="34" t="str">
        <x:v>All listed conditions apply unless an accepted ADR states otherwise.</x:v>
      </x:c>
      <x:c r="H25" s="34" t="str">
        <x:v>ELTS Build Plan P1.7</x:v>
      </x:c>
      <x:c r="I25" s="34" t="str"/>
    </x:row>
    <x:row r="26">
      <x:c r="A26" s="10" t="str">
        <x:v>DEP-0021</x:v>
      </x:c>
      <x:c r="B26" s="10" t="str">
        <x:v>P1.4</x:v>
      </x:c>
      <x:c r="C26" s="10" t="str">
        <x:v>P1.7</x:v>
      </x:c>
      <x:c r="D26" s="10" t="str">
        <x:v>requires</x:v>
      </x:c>
      <x:c r="E26" s="10" t="str">
        <x:v>yes</x:v>
      </x:c>
      <x:c r="F26" s="10" t="str">
        <x:v>done</x:v>
      </x:c>
      <x:c r="G26" s="10" t="str">
        <x:v>All listed conditions apply unless an accepted ADR states otherwise.</x:v>
      </x:c>
      <x:c r="H26" s="10" t="str">
        <x:v>ELTS Build Plan P1.7</x:v>
      </x:c>
      <x:c r="I26" s="10" t="str"/>
    </x:row>
    <x:row r="27">
      <x:c r="A27" s="34" t="str">
        <x:v>DEP-0022</x:v>
      </x:c>
      <x:c r="B27" s="34" t="str">
        <x:v>G0</x:v>
      </x:c>
      <x:c r="C27" s="34" t="str">
        <x:v>P1.8</x:v>
      </x:c>
      <x:c r="D27" s="34" t="str">
        <x:v>unlocks</x:v>
      </x:c>
      <x:c r="E27" s="34" t="str">
        <x:v>yes</x:v>
      </x:c>
      <x:c r="F27" s="34" t="str">
        <x:v>passed</x:v>
      </x:c>
      <x:c r="G27" s="34" t="str">
        <x:v>All listed conditions apply unless an accepted ADR states otherwise.</x:v>
      </x:c>
      <x:c r="H27" s="34" t="str">
        <x:v>ELTS Build Plan P1.8</x:v>
      </x:c>
      <x:c r="I27" s="34" t="str"/>
    </x:row>
    <x:row r="28">
      <x:c r="A28" s="10" t="str">
        <x:v>DEP-0023</x:v>
      </x:c>
      <x:c r="B28" s="10" t="str">
        <x:v>P1.3</x:v>
      </x:c>
      <x:c r="C28" s="10" t="str">
        <x:v>P1.8</x:v>
      </x:c>
      <x:c r="D28" s="10" t="str">
        <x:v>requires</x:v>
      </x:c>
      <x:c r="E28" s="10" t="str">
        <x:v>yes</x:v>
      </x:c>
      <x:c r="F28" s="10" t="str">
        <x:v>done</x:v>
      </x:c>
      <x:c r="G28" s="10" t="str">
        <x:v>All listed conditions apply unless an accepted ADR states otherwise.</x:v>
      </x:c>
      <x:c r="H28" s="10" t="str">
        <x:v>ELTS Build Plan P1.8</x:v>
      </x:c>
      <x:c r="I28" s="10" t="str"/>
    </x:row>
    <x:row r="29">
      <x:c r="A29" s="34" t="str">
        <x:v>DEP-0024</x:v>
      </x:c>
      <x:c r="B29" s="34" t="str">
        <x:v>P1.4</x:v>
      </x:c>
      <x:c r="C29" s="34" t="str">
        <x:v>P1.8</x:v>
      </x:c>
      <x:c r="D29" s="34" t="str">
        <x:v>requires</x:v>
      </x:c>
      <x:c r="E29" s="34" t="str">
        <x:v>yes</x:v>
      </x:c>
      <x:c r="F29" s="34" t="str">
        <x:v>done</x:v>
      </x:c>
      <x:c r="G29" s="34" t="str">
        <x:v>All listed conditions apply unless an accepted ADR states otherwise.</x:v>
      </x:c>
      <x:c r="H29" s="34" t="str">
        <x:v>ELTS Build Plan P1.8</x:v>
      </x:c>
      <x:c r="I29" s="34" t="str"/>
    </x:row>
    <x:row r="30">
      <x:c r="A30" s="10" t="str">
        <x:v>DEP-0025</x:v>
      </x:c>
      <x:c r="B30" s="10" t="str">
        <x:v>G0</x:v>
      </x:c>
      <x:c r="C30" s="10" t="str">
        <x:v>P1.9</x:v>
      </x:c>
      <x:c r="D30" s="10" t="str">
        <x:v>unlocks</x:v>
      </x:c>
      <x:c r="E30" s="10" t="str">
        <x:v>yes</x:v>
      </x:c>
      <x:c r="F30" s="10" t="str">
        <x:v>passed</x:v>
      </x:c>
      <x:c r="G30" s="10" t="str">
        <x:v>All listed conditions apply unless an accepted ADR states otherwise.</x:v>
      </x:c>
      <x:c r="H30" s="10" t="str">
        <x:v>ELTS Build Plan P1.9</x:v>
      </x:c>
      <x:c r="I30" s="10" t="str"/>
    </x:row>
    <x:row r="31">
      <x:c r="A31" s="34" t="str">
        <x:v>DEP-0026</x:v>
      </x:c>
      <x:c r="B31" s="34" t="str">
        <x:v>P1.4</x:v>
      </x:c>
      <x:c r="C31" s="34" t="str">
        <x:v>P1.9</x:v>
      </x:c>
      <x:c r="D31" s="34" t="str">
        <x:v>requires</x:v>
      </x:c>
      <x:c r="E31" s="34" t="str">
        <x:v>yes</x:v>
      </x:c>
      <x:c r="F31" s="34" t="str">
        <x:v>done</x:v>
      </x:c>
      <x:c r="G31" s="34" t="str">
        <x:v>All listed conditions apply unless an accepted ADR states otherwise.</x:v>
      </x:c>
      <x:c r="H31" s="34" t="str">
        <x:v>ELTS Build Plan P1.9</x:v>
      </x:c>
      <x:c r="I31" s="34" t="str"/>
    </x:row>
    <x:row r="32">
      <x:c r="A32" s="10" t="str">
        <x:v>DEP-0027</x:v>
      </x:c>
      <x:c r="B32" s="10" t="str">
        <x:v>G0</x:v>
      </x:c>
      <x:c r="C32" s="10" t="str">
        <x:v>P1.10</x:v>
      </x:c>
      <x:c r="D32" s="10" t="str">
        <x:v>unlocks</x:v>
      </x:c>
      <x:c r="E32" s="10" t="str">
        <x:v>yes</x:v>
      </x:c>
      <x:c r="F32" s="10" t="str">
        <x:v>passed</x:v>
      </x:c>
      <x:c r="G32" s="10" t="str">
        <x:v>All listed conditions apply unless an accepted ADR states otherwise.</x:v>
      </x:c>
      <x:c r="H32" s="10" t="str">
        <x:v>ELTS Build Plan P1.10</x:v>
      </x:c>
      <x:c r="I32" s="10" t="str"/>
    </x:row>
    <x:row r="33">
      <x:c r="A33" s="34" t="str">
        <x:v>DEP-0028</x:v>
      </x:c>
      <x:c r="B33" s="34" t="str">
        <x:v>P0.2</x:v>
      </x:c>
      <x:c r="C33" s="34" t="str">
        <x:v>P1.10</x:v>
      </x:c>
      <x:c r="D33" s="34" t="str">
        <x:v>requires</x:v>
      </x:c>
      <x:c r="E33" s="34" t="str">
        <x:v>yes</x:v>
      </x:c>
      <x:c r="F33" s="34" t="str">
        <x:v>done</x:v>
      </x:c>
      <x:c r="G33" s="34" t="str">
        <x:v>All listed conditions apply unless an accepted ADR states otherwise.</x:v>
      </x:c>
      <x:c r="H33" s="34" t="str">
        <x:v>ELTS Build Plan P1.10</x:v>
      </x:c>
      <x:c r="I33" s="34" t="str"/>
    </x:row>
    <x:row r="34">
      <x:c r="A34" s="10" t="str">
        <x:v>DEP-0029</x:v>
      </x:c>
      <x:c r="B34" s="10" t="str">
        <x:v>G0</x:v>
      </x:c>
      <x:c r="C34" s="10" t="str">
        <x:v>P1.11</x:v>
      </x:c>
      <x:c r="D34" s="10" t="str">
        <x:v>unlocks</x:v>
      </x:c>
      <x:c r="E34" s="10" t="str">
        <x:v>yes</x:v>
      </x:c>
      <x:c r="F34" s="10" t="str">
        <x:v>passed</x:v>
      </x:c>
      <x:c r="G34" s="10" t="str">
        <x:v>All listed conditions apply unless an accepted ADR states otherwise.</x:v>
      </x:c>
      <x:c r="H34" s="10" t="str">
        <x:v>ELTS Build Plan P1.11</x:v>
      </x:c>
      <x:c r="I34" s="10" t="str"/>
    </x:row>
    <x:row r="35">
      <x:c r="A35" s="34" t="str">
        <x:v>DEP-0030</x:v>
      </x:c>
      <x:c r="B35" s="34" t="str">
        <x:v>D-09</x:v>
      </x:c>
      <x:c r="C35" s="34" t="str">
        <x:v>P1.11</x:v>
      </x:c>
      <x:c r="D35" s="34" t="str">
        <x:v>blocks</x:v>
      </x:c>
      <x:c r="E35" s="34" t="str">
        <x:v>yes</x:v>
      </x:c>
      <x:c r="F35" s="34" t="str">
        <x:v>decided</x:v>
      </x:c>
      <x:c r="G35" s="34" t="str">
        <x:v>All listed conditions apply unless an accepted ADR states otherwise.</x:v>
      </x:c>
      <x:c r="H35" s="34" t="str">
        <x:v>ELTS Build Plan P1.11</x:v>
      </x:c>
      <x:c r="I35" s="34" t="str"/>
    </x:row>
    <x:row r="36">
      <x:c r="A36" s="10" t="str">
        <x:v>DEP-0031</x:v>
      </x:c>
      <x:c r="B36" s="10" t="str">
        <x:v>G0</x:v>
      </x:c>
      <x:c r="C36" s="10" t="str">
        <x:v>P1.12</x:v>
      </x:c>
      <x:c r="D36" s="10" t="str">
        <x:v>unlocks</x:v>
      </x:c>
      <x:c r="E36" s="10" t="str">
        <x:v>yes</x:v>
      </x:c>
      <x:c r="F36" s="10" t="str">
        <x:v>passed</x:v>
      </x:c>
      <x:c r="G36" s="10" t="str">
        <x:v>All listed conditions apply unless an accepted ADR states otherwise.</x:v>
      </x:c>
      <x:c r="H36" s="10" t="str">
        <x:v>ELTS Build Plan P1.12</x:v>
      </x:c>
      <x:c r="I36" s="10" t="str"/>
    </x:row>
    <x:row r="37">
      <x:c r="A37" s="34" t="str">
        <x:v>DEP-0032</x:v>
      </x:c>
      <x:c r="B37" s="34" t="str">
        <x:v>P1.11</x:v>
      </x:c>
      <x:c r="C37" s="34" t="str">
        <x:v>P1.12</x:v>
      </x:c>
      <x:c r="D37" s="34" t="str">
        <x:v>requires</x:v>
      </x:c>
      <x:c r="E37" s="34" t="str">
        <x:v>yes</x:v>
      </x:c>
      <x:c r="F37" s="34" t="str">
        <x:v>done</x:v>
      </x:c>
      <x:c r="G37" s="34" t="str">
        <x:v>All listed conditions apply unless an accepted ADR states otherwise.</x:v>
      </x:c>
      <x:c r="H37" s="34" t="str">
        <x:v>ELTS Build Plan P1.12</x:v>
      </x:c>
      <x:c r="I37" s="34" t="str"/>
    </x:row>
    <x:row r="38">
      <x:c r="A38" s="10" t="str">
        <x:v>DEP-0033</x:v>
      </x:c>
      <x:c r="B38" s="10" t="str">
        <x:v>G0</x:v>
      </x:c>
      <x:c r="C38" s="10" t="str">
        <x:v>P1.13</x:v>
      </x:c>
      <x:c r="D38" s="10" t="str">
        <x:v>unlocks</x:v>
      </x:c>
      <x:c r="E38" s="10" t="str">
        <x:v>yes</x:v>
      </x:c>
      <x:c r="F38" s="10" t="str">
        <x:v>passed</x:v>
      </x:c>
      <x:c r="G38" s="10" t="str">
        <x:v>All listed conditions apply unless an accepted ADR states otherwise.</x:v>
      </x:c>
      <x:c r="H38" s="10" t="str">
        <x:v>ELTS Build Plan P1.13</x:v>
      </x:c>
      <x:c r="I38" s="10" t="str"/>
    </x:row>
    <x:row r="39">
      <x:c r="A39" s="34" t="str">
        <x:v>DEP-0034</x:v>
      </x:c>
      <x:c r="B39" s="34" t="str">
        <x:v>P1.12</x:v>
      </x:c>
      <x:c r="C39" s="34" t="str">
        <x:v>P1.13</x:v>
      </x:c>
      <x:c r="D39" s="34" t="str">
        <x:v>requires</x:v>
      </x:c>
      <x:c r="E39" s="34" t="str">
        <x:v>yes</x:v>
      </x:c>
      <x:c r="F39" s="34" t="str">
        <x:v>done</x:v>
      </x:c>
      <x:c r="G39" s="34" t="str">
        <x:v>All listed conditions apply unless an accepted ADR states otherwise.</x:v>
      </x:c>
      <x:c r="H39" s="34" t="str">
        <x:v>ELTS Build Plan P1.13</x:v>
      </x:c>
      <x:c r="I39" s="34" t="str"/>
    </x:row>
    <x:row r="40">
      <x:c r="A40" s="10" t="str">
        <x:v>DEP-0035</x:v>
      </x:c>
      <x:c r="B40" s="10" t="str">
        <x:v>G0</x:v>
      </x:c>
      <x:c r="C40" s="10" t="str">
        <x:v>P1.14</x:v>
      </x:c>
      <x:c r="D40" s="10" t="str">
        <x:v>unlocks</x:v>
      </x:c>
      <x:c r="E40" s="10" t="str">
        <x:v>yes</x:v>
      </x:c>
      <x:c r="F40" s="10" t="str">
        <x:v>passed</x:v>
      </x:c>
      <x:c r="G40" s="10" t="str">
        <x:v>All listed conditions apply unless an accepted ADR states otherwise.</x:v>
      </x:c>
      <x:c r="H40" s="10" t="str">
        <x:v>ELTS Build Plan P1.14</x:v>
      </x:c>
      <x:c r="I40" s="10" t="str"/>
    </x:row>
    <x:row r="41">
      <x:c r="A41" s="34" t="str">
        <x:v>DEP-0036</x:v>
      </x:c>
      <x:c r="B41" s="34" t="str">
        <x:v>P1.13</x:v>
      </x:c>
      <x:c r="C41" s="34" t="str">
        <x:v>P1.14</x:v>
      </x:c>
      <x:c r="D41" s="34" t="str">
        <x:v>requires</x:v>
      </x:c>
      <x:c r="E41" s="34" t="str">
        <x:v>yes</x:v>
      </x:c>
      <x:c r="F41" s="34" t="str">
        <x:v>done</x:v>
      </x:c>
      <x:c r="G41" s="34" t="str">
        <x:v>All listed conditions apply unless an accepted ADR states otherwise.</x:v>
      </x:c>
      <x:c r="H41" s="34" t="str">
        <x:v>ELTS Build Plan P1.14</x:v>
      </x:c>
      <x:c r="I41" s="34" t="str"/>
    </x:row>
    <x:row r="42">
      <x:c r="A42" s="10" t="str">
        <x:v>DEP-0037</x:v>
      </x:c>
      <x:c r="B42" s="10" t="str">
        <x:v>G1</x:v>
      </x:c>
      <x:c r="C42" s="10" t="str">
        <x:v>P2.1</x:v>
      </x:c>
      <x:c r="D42" s="10" t="str">
        <x:v>unlocks</x:v>
      </x:c>
      <x:c r="E42" s="10" t="str">
        <x:v>yes</x:v>
      </x:c>
      <x:c r="F42" s="10" t="str">
        <x:v>passed</x:v>
      </x:c>
      <x:c r="G42" s="10" t="str">
        <x:v>May use P2.9 synthetic tracking after G0 until real-pose evidence is required.</x:v>
      </x:c>
      <x:c r="H42" s="10" t="str">
        <x:v>ELTS Build Plan P2.1</x:v>
      </x:c>
      <x:c r="I42" s="10" t="str"/>
    </x:row>
    <x:row r="43">
      <x:c r="A43" s="34" t="str">
        <x:v>DEP-0038</x:v>
      </x:c>
      <x:c r="B43" s="34" t="str">
        <x:v>G0</x:v>
      </x:c>
      <x:c r="C43" s="34" t="str">
        <x:v>P2.1</x:v>
      </x:c>
      <x:c r="D43" s="34" t="str">
        <x:v>unlocks</x:v>
      </x:c>
      <x:c r="E43" s="34" t="str">
        <x:v>yes</x:v>
      </x:c>
      <x:c r="F43" s="34" t="str">
        <x:v>passed</x:v>
      </x:c>
      <x:c r="G43" s="34" t="str">
        <x:v>All listed conditions apply unless an accepted ADR states otherwise.</x:v>
      </x:c>
      <x:c r="H43" s="34" t="str">
        <x:v>ELTS Build Plan P2.1</x:v>
      </x:c>
      <x:c r="I43" s="34" t="str"/>
    </x:row>
    <x:row r="44">
      <x:c r="A44" s="10" t="str">
        <x:v>DEP-0039</x:v>
      </x:c>
      <x:c r="B44" s="10" t="str">
        <x:v>P2.9</x:v>
      </x:c>
      <x:c r="C44" s="10" t="str">
        <x:v>P2.1</x:v>
      </x:c>
      <x:c r="D44" s="10" t="str">
        <x:v>requires</x:v>
      </x:c>
      <x:c r="E44" s="10" t="str">
        <x:v>yes</x:v>
      </x:c>
      <x:c r="F44" s="10" t="str">
        <x:v>done</x:v>
      </x:c>
      <x:c r="G44" s="10" t="str">
        <x:v>All listed conditions apply unless an accepted ADR states otherwise.</x:v>
      </x:c>
      <x:c r="H44" s="10" t="str">
        <x:v>ELTS Build Plan P2.1</x:v>
      </x:c>
      <x:c r="I44" s="10" t="str"/>
    </x:row>
    <x:row r="45">
      <x:c r="A45" s="34" t="str">
        <x:v>DEP-0040</x:v>
      </x:c>
      <x:c r="B45" s="34" t="str">
        <x:v>G1</x:v>
      </x:c>
      <x:c r="C45" s="34" t="str">
        <x:v>P2.2</x:v>
      </x:c>
      <x:c r="D45" s="34" t="str">
        <x:v>unlocks</x:v>
      </x:c>
      <x:c r="E45" s="34" t="str">
        <x:v>yes</x:v>
      </x:c>
      <x:c r="F45" s="34" t="str">
        <x:v>passed</x:v>
      </x:c>
      <x:c r="G45" s="34" t="str">
        <x:v>May use P2.9 synthetic tracking after G0 until real-pose evidence is required.</x:v>
      </x:c>
      <x:c r="H45" s="34" t="str">
        <x:v>ELTS Build Plan P2.2</x:v>
      </x:c>
      <x:c r="I45" s="34" t="str"/>
    </x:row>
    <x:row r="46">
      <x:c r="A46" s="10" t="str">
        <x:v>DEP-0041</x:v>
      </x:c>
      <x:c r="B46" s="10" t="str">
        <x:v>G0</x:v>
      </x:c>
      <x:c r="C46" s="10" t="str">
        <x:v>P2.2</x:v>
      </x:c>
      <x:c r="D46" s="10" t="str">
        <x:v>unlocks</x:v>
      </x:c>
      <x:c r="E46" s="10" t="str">
        <x:v>yes</x:v>
      </x:c>
      <x:c r="F46" s="10" t="str">
        <x:v>passed</x:v>
      </x:c>
      <x:c r="G46" s="10" t="str">
        <x:v>All listed conditions apply unless an accepted ADR states otherwise.</x:v>
      </x:c>
      <x:c r="H46" s="10" t="str">
        <x:v>ELTS Build Plan P2.2</x:v>
      </x:c>
      <x:c r="I46" s="10" t="str"/>
    </x:row>
    <x:row r="47">
      <x:c r="A47" s="34" t="str">
        <x:v>DEP-0042</x:v>
      </x:c>
      <x:c r="B47" s="34" t="str">
        <x:v>P2.9</x:v>
      </x:c>
      <x:c r="C47" s="34" t="str">
        <x:v>P2.2</x:v>
      </x:c>
      <x:c r="D47" s="34" t="str">
        <x:v>requires</x:v>
      </x:c>
      <x:c r="E47" s="34" t="str">
        <x:v>yes</x:v>
      </x:c>
      <x:c r="F47" s="34" t="str">
        <x:v>done</x:v>
      </x:c>
      <x:c r="G47" s="34" t="str">
        <x:v>All listed conditions apply unless an accepted ADR states otherwise.</x:v>
      </x:c>
      <x:c r="H47" s="34" t="str">
        <x:v>ELTS Build Plan P2.2</x:v>
      </x:c>
      <x:c r="I47" s="34" t="str"/>
    </x:row>
    <x:row r="48">
      <x:c r="A48" s="10" t="str">
        <x:v>DEP-0043</x:v>
      </x:c>
      <x:c r="B48" s="10" t="str">
        <x:v>P2.1</x:v>
      </x:c>
      <x:c r="C48" s="10" t="str">
        <x:v>P2.2</x:v>
      </x:c>
      <x:c r="D48" s="10" t="str">
        <x:v>requires</x:v>
      </x:c>
      <x:c r="E48" s="10" t="str">
        <x:v>yes</x:v>
      </x:c>
      <x:c r="F48" s="10" t="str">
        <x:v>done</x:v>
      </x:c>
      <x:c r="G48" s="10" t="str">
        <x:v>All listed conditions apply unless an accepted ADR states otherwise.</x:v>
      </x:c>
      <x:c r="H48" s="10" t="str">
        <x:v>ELTS Build Plan P2.2</x:v>
      </x:c>
      <x:c r="I48" s="10" t="str"/>
    </x:row>
    <x:row r="49">
      <x:c r="A49" s="34" t="str">
        <x:v>DEP-0044</x:v>
      </x:c>
      <x:c r="B49" s="34" t="str">
        <x:v>D-12</x:v>
      </x:c>
      <x:c r="C49" s="34" t="str">
        <x:v>P2.2</x:v>
      </x:c>
      <x:c r="D49" s="34" t="str">
        <x:v>blocks</x:v>
      </x:c>
      <x:c r="E49" s="34" t="str">
        <x:v>yes</x:v>
      </x:c>
      <x:c r="F49" s="34" t="str">
        <x:v>decided</x:v>
      </x:c>
      <x:c r="G49" s="34" t="str">
        <x:v>All listed conditions apply unless an accepted ADR states otherwise.</x:v>
      </x:c>
      <x:c r="H49" s="34" t="str">
        <x:v>ELTS Build Plan P2.2</x:v>
      </x:c>
      <x:c r="I49" s="34" t="str"/>
    </x:row>
    <x:row r="50">
      <x:c r="A50" s="10" t="str">
        <x:v>DEP-0045</x:v>
      </x:c>
      <x:c r="B50" s="10" t="str">
        <x:v>G1</x:v>
      </x:c>
      <x:c r="C50" s="10" t="str">
        <x:v>P2.3</x:v>
      </x:c>
      <x:c r="D50" s="10" t="str">
        <x:v>unlocks</x:v>
      </x:c>
      <x:c r="E50" s="10" t="str">
        <x:v>yes</x:v>
      </x:c>
      <x:c r="F50" s="10" t="str">
        <x:v>passed</x:v>
      </x:c>
      <x:c r="G50" s="10" t="str">
        <x:v>May use P2.9 synthetic tracking after G0 until real-pose evidence is required.</x:v>
      </x:c>
      <x:c r="H50" s="10" t="str">
        <x:v>ELTS Build Plan P2.3</x:v>
      </x:c>
      <x:c r="I50" s="10" t="str"/>
    </x:row>
    <x:row r="51">
      <x:c r="A51" s="34" t="str">
        <x:v>DEP-0046</x:v>
      </x:c>
      <x:c r="B51" s="34" t="str">
        <x:v>G0</x:v>
      </x:c>
      <x:c r="C51" s="34" t="str">
        <x:v>P2.3</x:v>
      </x:c>
      <x:c r="D51" s="34" t="str">
        <x:v>unlocks</x:v>
      </x:c>
      <x:c r="E51" s="34" t="str">
        <x:v>yes</x:v>
      </x:c>
      <x:c r="F51" s="34" t="str">
        <x:v>passed</x:v>
      </x:c>
      <x:c r="G51" s="34" t="str">
        <x:v>All listed conditions apply unless an accepted ADR states otherwise.</x:v>
      </x:c>
      <x:c r="H51" s="34" t="str">
        <x:v>ELTS Build Plan P2.3</x:v>
      </x:c>
      <x:c r="I51" s="34" t="str"/>
    </x:row>
    <x:row r="52">
      <x:c r="A52" s="10" t="str">
        <x:v>DEP-0047</x:v>
      </x:c>
      <x:c r="B52" s="10" t="str">
        <x:v>P2.9</x:v>
      </x:c>
      <x:c r="C52" s="10" t="str">
        <x:v>P2.3</x:v>
      </x:c>
      <x:c r="D52" s="10" t="str">
        <x:v>requires</x:v>
      </x:c>
      <x:c r="E52" s="10" t="str">
        <x:v>yes</x:v>
      </x:c>
      <x:c r="F52" s="10" t="str">
        <x:v>done</x:v>
      </x:c>
      <x:c r="G52" s="10" t="str">
        <x:v>All listed conditions apply unless an accepted ADR states otherwise.</x:v>
      </x:c>
      <x:c r="H52" s="10" t="str">
        <x:v>ELTS Build Plan P2.3</x:v>
      </x:c>
      <x:c r="I52" s="10" t="str"/>
    </x:row>
    <x:row r="53">
      <x:c r="A53" s="34" t="str">
        <x:v>DEP-0048</x:v>
      </x:c>
      <x:c r="B53" s="34" t="str">
        <x:v>P1.5</x:v>
      </x:c>
      <x:c r="C53" s="34" t="str">
        <x:v>P2.3</x:v>
      </x:c>
      <x:c r="D53" s="34" t="str">
        <x:v>requires</x:v>
      </x:c>
      <x:c r="E53" s="34" t="str">
        <x:v>yes</x:v>
      </x:c>
      <x:c r="F53" s="34" t="str">
        <x:v>done</x:v>
      </x:c>
      <x:c r="G53" s="34" t="str">
        <x:v>All listed conditions apply unless an accepted ADR states otherwise.</x:v>
      </x:c>
      <x:c r="H53" s="34" t="str">
        <x:v>ELTS Build Plan P2.3</x:v>
      </x:c>
      <x:c r="I53" s="34" t="str"/>
    </x:row>
    <x:row r="54">
      <x:c r="A54" s="10" t="str">
        <x:v>DEP-0049</x:v>
      </x:c>
      <x:c r="B54" s="10" t="str">
        <x:v>P1.6</x:v>
      </x:c>
      <x:c r="C54" s="10" t="str">
        <x:v>P2.3</x:v>
      </x:c>
      <x:c r="D54" s="10" t="str">
        <x:v>requires</x:v>
      </x:c>
      <x:c r="E54" s="10" t="str">
        <x:v>yes</x:v>
      </x:c>
      <x:c r="F54" s="10" t="str">
        <x:v>done</x:v>
      </x:c>
      <x:c r="G54" s="10" t="str">
        <x:v>All listed conditions apply unless an accepted ADR states otherwise.</x:v>
      </x:c>
      <x:c r="H54" s="10" t="str">
        <x:v>ELTS Build Plan P2.3</x:v>
      </x:c>
      <x:c r="I54" s="10" t="str"/>
    </x:row>
    <x:row r="55">
      <x:c r="A55" s="34" t="str">
        <x:v>DEP-0050</x:v>
      </x:c>
      <x:c r="B55" s="34" t="str">
        <x:v>P1.7</x:v>
      </x:c>
      <x:c r="C55" s="34" t="str">
        <x:v>P2.3</x:v>
      </x:c>
      <x:c r="D55" s="34" t="str">
        <x:v>requires</x:v>
      </x:c>
      <x:c r="E55" s="34" t="str">
        <x:v>yes</x:v>
      </x:c>
      <x:c r="F55" s="34" t="str">
        <x:v>done</x:v>
      </x:c>
      <x:c r="G55" s="34" t="str">
        <x:v>All listed conditions apply unless an accepted ADR states otherwise.</x:v>
      </x:c>
      <x:c r="H55" s="34" t="str">
        <x:v>ELTS Build Plan P2.3</x:v>
      </x:c>
      <x:c r="I55" s="34" t="str"/>
    </x:row>
    <x:row r="56">
      <x:c r="A56" s="10" t="str">
        <x:v>DEP-0051</x:v>
      </x:c>
      <x:c r="B56" s="10" t="str">
        <x:v>P1.8</x:v>
      </x:c>
      <x:c r="C56" s="10" t="str">
        <x:v>P2.3</x:v>
      </x:c>
      <x:c r="D56" s="10" t="str">
        <x:v>requires</x:v>
      </x:c>
      <x:c r="E56" s="10" t="str">
        <x:v>yes</x:v>
      </x:c>
      <x:c r="F56" s="10" t="str">
        <x:v>done</x:v>
      </x:c>
      <x:c r="G56" s="10" t="str">
        <x:v>All listed conditions apply unless an accepted ADR states otherwise.</x:v>
      </x:c>
      <x:c r="H56" s="10" t="str">
        <x:v>ELTS Build Plan P2.3</x:v>
      </x:c>
      <x:c r="I56" s="10" t="str"/>
    </x:row>
    <x:row r="57">
      <x:c r="A57" s="34" t="str">
        <x:v>DEP-0052</x:v>
      </x:c>
      <x:c r="B57" s="34" t="str">
        <x:v>P1.9</x:v>
      </x:c>
      <x:c r="C57" s="34" t="str">
        <x:v>P2.3</x:v>
      </x:c>
      <x:c r="D57" s="34" t="str">
        <x:v>requires</x:v>
      </x:c>
      <x:c r="E57" s="34" t="str">
        <x:v>yes</x:v>
      </x:c>
      <x:c r="F57" s="34" t="str">
        <x:v>done</x:v>
      </x:c>
      <x:c r="G57" s="34" t="str">
        <x:v>All listed conditions apply unless an accepted ADR states otherwise.</x:v>
      </x:c>
      <x:c r="H57" s="34" t="str">
        <x:v>ELTS Build Plan P2.3</x:v>
      </x:c>
      <x:c r="I57" s="34" t="str"/>
    </x:row>
    <x:row r="58">
      <x:c r="A58" s="10" t="str">
        <x:v>DEP-0053</x:v>
      </x:c>
      <x:c r="B58" s="10" t="str">
        <x:v>P2.1</x:v>
      </x:c>
      <x:c r="C58" s="10" t="str">
        <x:v>P2.3</x:v>
      </x:c>
      <x:c r="D58" s="10" t="str">
        <x:v>requires</x:v>
      </x:c>
      <x:c r="E58" s="10" t="str">
        <x:v>yes</x:v>
      </x:c>
      <x:c r="F58" s="10" t="str">
        <x:v>done</x:v>
      </x:c>
      <x:c r="G58" s="10" t="str">
        <x:v>All listed conditions apply unless an accepted ADR states otherwise.</x:v>
      </x:c>
      <x:c r="H58" s="10" t="str">
        <x:v>ELTS Build Plan P2.3</x:v>
      </x:c>
      <x:c r="I58" s="10" t="str"/>
    </x:row>
    <x:row r="59">
      <x:c r="A59" s="34" t="str">
        <x:v>DEP-0054</x:v>
      </x:c>
      <x:c r="B59" s="34" t="str">
        <x:v>P2.2</x:v>
      </x:c>
      <x:c r="C59" s="34" t="str">
        <x:v>P2.3</x:v>
      </x:c>
      <x:c r="D59" s="34" t="str">
        <x:v>requires</x:v>
      </x:c>
      <x:c r="E59" s="34" t="str">
        <x:v>yes</x:v>
      </x:c>
      <x:c r="F59" s="34" t="str">
        <x:v>done</x:v>
      </x:c>
      <x:c r="G59" s="34" t="str">
        <x:v>All listed conditions apply unless an accepted ADR states otherwise.</x:v>
      </x:c>
      <x:c r="H59" s="34" t="str">
        <x:v>ELTS Build Plan P2.3</x:v>
      </x:c>
      <x:c r="I59" s="34" t="str"/>
    </x:row>
    <x:row r="60">
      <x:c r="A60" s="10" t="str">
        <x:v>DEP-0055</x:v>
      </x:c>
      <x:c r="B60" s="10" t="str">
        <x:v>G1</x:v>
      </x:c>
      <x:c r="C60" s="10" t="str">
        <x:v>P2.4</x:v>
      </x:c>
      <x:c r="D60" s="10" t="str">
        <x:v>unlocks</x:v>
      </x:c>
      <x:c r="E60" s="10" t="str">
        <x:v>yes</x:v>
      </x:c>
      <x:c r="F60" s="10" t="str">
        <x:v>passed</x:v>
      </x:c>
      <x:c r="G60" s="10" t="str">
        <x:v>May use P2.9 synthetic tracking after G0 until real-pose evidence is required.</x:v>
      </x:c>
      <x:c r="H60" s="10" t="str">
        <x:v>ELTS Build Plan P2.4</x:v>
      </x:c>
      <x:c r="I60" s="10" t="str"/>
    </x:row>
    <x:row r="61">
      <x:c r="A61" s="34" t="str">
        <x:v>DEP-0056</x:v>
      </x:c>
      <x:c r="B61" s="34" t="str">
        <x:v>G0</x:v>
      </x:c>
      <x:c r="C61" s="34" t="str">
        <x:v>P2.4</x:v>
      </x:c>
      <x:c r="D61" s="34" t="str">
        <x:v>unlocks</x:v>
      </x:c>
      <x:c r="E61" s="34" t="str">
        <x:v>yes</x:v>
      </x:c>
      <x:c r="F61" s="34" t="str">
        <x:v>passed</x:v>
      </x:c>
      <x:c r="G61" s="34" t="str">
        <x:v>All listed conditions apply unless an accepted ADR states otherwise.</x:v>
      </x:c>
      <x:c r="H61" s="34" t="str">
        <x:v>ELTS Build Plan P2.4</x:v>
      </x:c>
      <x:c r="I61" s="34" t="str"/>
    </x:row>
    <x:row r="62">
      <x:c r="A62" s="10" t="str">
        <x:v>DEP-0057</x:v>
      </x:c>
      <x:c r="B62" s="10" t="str">
        <x:v>P2.9</x:v>
      </x:c>
      <x:c r="C62" s="10" t="str">
        <x:v>P2.4</x:v>
      </x:c>
      <x:c r="D62" s="10" t="str">
        <x:v>requires</x:v>
      </x:c>
      <x:c r="E62" s="10" t="str">
        <x:v>yes</x:v>
      </x:c>
      <x:c r="F62" s="10" t="str">
        <x:v>done</x:v>
      </x:c>
      <x:c r="G62" s="10" t="str">
        <x:v>All listed conditions apply unless an accepted ADR states otherwise.</x:v>
      </x:c>
      <x:c r="H62" s="10" t="str">
        <x:v>ELTS Build Plan P2.4</x:v>
      </x:c>
      <x:c r="I62" s="10" t="str"/>
    </x:row>
    <x:row r="63">
      <x:c r="A63" s="34" t="str">
        <x:v>DEP-0058</x:v>
      </x:c>
      <x:c r="B63" s="34" t="str">
        <x:v>P2.1</x:v>
      </x:c>
      <x:c r="C63" s="34" t="str">
        <x:v>P2.4</x:v>
      </x:c>
      <x:c r="D63" s="34" t="str">
        <x:v>requires</x:v>
      </x:c>
      <x:c r="E63" s="34" t="str">
        <x:v>yes</x:v>
      </x:c>
      <x:c r="F63" s="34" t="str">
        <x:v>done</x:v>
      </x:c>
      <x:c r="G63" s="34" t="str">
        <x:v>All listed conditions apply unless an accepted ADR states otherwise.</x:v>
      </x:c>
      <x:c r="H63" s="34" t="str">
        <x:v>ELTS Build Plan P2.4</x:v>
      </x:c>
      <x:c r="I63" s="34" t="str"/>
    </x:row>
    <x:row r="64">
      <x:c r="A64" s="10" t="str">
        <x:v>DEP-0059</x:v>
      </x:c>
      <x:c r="B64" s="10" t="str">
        <x:v>G1</x:v>
      </x:c>
      <x:c r="C64" s="10" t="str">
        <x:v>P2.5</x:v>
      </x:c>
      <x:c r="D64" s="10" t="str">
        <x:v>unlocks</x:v>
      </x:c>
      <x:c r="E64" s="10" t="str">
        <x:v>yes</x:v>
      </x:c>
      <x:c r="F64" s="10" t="str">
        <x:v>passed</x:v>
      </x:c>
      <x:c r="G64" s="10" t="str">
        <x:v>May use P2.9 synthetic tracking after G0 until real-pose evidence is required.</x:v>
      </x:c>
      <x:c r="H64" s="10" t="str">
        <x:v>ELTS Build Plan P2.5</x:v>
      </x:c>
      <x:c r="I64" s="10" t="str"/>
    </x:row>
    <x:row r="65">
      <x:c r="A65" s="34" t="str">
        <x:v>DEP-0060</x:v>
      </x:c>
      <x:c r="B65" s="34" t="str">
        <x:v>G0</x:v>
      </x:c>
      <x:c r="C65" s="34" t="str">
        <x:v>P2.5</x:v>
      </x:c>
      <x:c r="D65" s="34" t="str">
        <x:v>unlocks</x:v>
      </x:c>
      <x:c r="E65" s="34" t="str">
        <x:v>yes</x:v>
      </x:c>
      <x:c r="F65" s="34" t="str">
        <x:v>passed</x:v>
      </x:c>
      <x:c r="G65" s="34" t="str">
        <x:v>All listed conditions apply unless an accepted ADR states otherwise.</x:v>
      </x:c>
      <x:c r="H65" s="34" t="str">
        <x:v>ELTS Build Plan P2.5</x:v>
      </x:c>
      <x:c r="I65" s="34" t="str"/>
    </x:row>
    <x:row r="66">
      <x:c r="A66" s="10" t="str">
        <x:v>DEP-0061</x:v>
      </x:c>
      <x:c r="B66" s="10" t="str">
        <x:v>P2.9</x:v>
      </x:c>
      <x:c r="C66" s="10" t="str">
        <x:v>P2.5</x:v>
      </x:c>
      <x:c r="D66" s="10" t="str">
        <x:v>requires</x:v>
      </x:c>
      <x:c r="E66" s="10" t="str">
        <x:v>yes</x:v>
      </x:c>
      <x:c r="F66" s="10" t="str">
        <x:v>done</x:v>
      </x:c>
      <x:c r="G66" s="10" t="str">
        <x:v>All listed conditions apply unless an accepted ADR states otherwise.</x:v>
      </x:c>
      <x:c r="H66" s="10" t="str">
        <x:v>ELTS Build Plan P2.5</x:v>
      </x:c>
      <x:c r="I66" s="10" t="str"/>
    </x:row>
    <x:row r="67">
      <x:c r="A67" s="34" t="str">
        <x:v>DEP-0062</x:v>
      </x:c>
      <x:c r="B67" s="34" t="str">
        <x:v>P2.2</x:v>
      </x:c>
      <x:c r="C67" s="34" t="str">
        <x:v>P2.5</x:v>
      </x:c>
      <x:c r="D67" s="34" t="str">
        <x:v>requires</x:v>
      </x:c>
      <x:c r="E67" s="34" t="str">
        <x:v>yes</x:v>
      </x:c>
      <x:c r="F67" s="34" t="str">
        <x:v>done</x:v>
      </x:c>
      <x:c r="G67" s="34" t="str">
        <x:v>All listed conditions apply unless an accepted ADR states otherwise.</x:v>
      </x:c>
      <x:c r="H67" s="34" t="str">
        <x:v>ELTS Build Plan P2.5</x:v>
      </x:c>
      <x:c r="I67" s="34" t="str"/>
    </x:row>
    <x:row r="68">
      <x:c r="A68" s="10" t="str">
        <x:v>DEP-0063</x:v>
      </x:c>
      <x:c r="B68" s="10" t="str">
        <x:v>P2.3</x:v>
      </x:c>
      <x:c r="C68" s="10" t="str">
        <x:v>P2.5</x:v>
      </x:c>
      <x:c r="D68" s="10" t="str">
        <x:v>requires</x:v>
      </x:c>
      <x:c r="E68" s="10" t="str">
        <x:v>yes</x:v>
      </x:c>
      <x:c r="F68" s="10" t="str">
        <x:v>done</x:v>
      </x:c>
      <x:c r="G68" s="10" t="str">
        <x:v>All listed conditions apply unless an accepted ADR states otherwise.</x:v>
      </x:c>
      <x:c r="H68" s="10" t="str">
        <x:v>ELTS Build Plan P2.5</x:v>
      </x:c>
      <x:c r="I68" s="10" t="str"/>
    </x:row>
    <x:row r="69">
      <x:c r="A69" s="34" t="str">
        <x:v>DEP-0064</x:v>
      </x:c>
      <x:c r="B69" s="34" t="str">
        <x:v>G1</x:v>
      </x:c>
      <x:c r="C69" s="34" t="str">
        <x:v>P2.6</x:v>
      </x:c>
      <x:c r="D69" s="34" t="str">
        <x:v>unlocks</x:v>
      </x:c>
      <x:c r="E69" s="34" t="str">
        <x:v>yes</x:v>
      </x:c>
      <x:c r="F69" s="34" t="str">
        <x:v>passed</x:v>
      </x:c>
      <x:c r="G69" s="34" t="str">
        <x:v>May use P2.9 synthetic tracking after G0 until real-pose evidence is required.</x:v>
      </x:c>
      <x:c r="H69" s="34" t="str">
        <x:v>ELTS Build Plan P2.6</x:v>
      </x:c>
      <x:c r="I69" s="34" t="str"/>
    </x:row>
    <x:row r="70">
      <x:c r="A70" s="10" t="str">
        <x:v>DEP-0065</x:v>
      </x:c>
      <x:c r="B70" s="10" t="str">
        <x:v>G0</x:v>
      </x:c>
      <x:c r="C70" s="10" t="str">
        <x:v>P2.6</x:v>
      </x:c>
      <x:c r="D70" s="10" t="str">
        <x:v>unlocks</x:v>
      </x:c>
      <x:c r="E70" s="10" t="str">
        <x:v>yes</x:v>
      </x:c>
      <x:c r="F70" s="10" t="str">
        <x:v>passed</x:v>
      </x:c>
      <x:c r="G70" s="10" t="str">
        <x:v>All listed conditions apply unless an accepted ADR states otherwise.</x:v>
      </x:c>
      <x:c r="H70" s="10" t="str">
        <x:v>ELTS Build Plan P2.6</x:v>
      </x:c>
      <x:c r="I70" s="10" t="str"/>
    </x:row>
    <x:row r="71">
      <x:c r="A71" s="34" t="str">
        <x:v>DEP-0066</x:v>
      </x:c>
      <x:c r="B71" s="34" t="str">
        <x:v>P2.9</x:v>
      </x:c>
      <x:c r="C71" s="34" t="str">
        <x:v>P2.6</x:v>
      </x:c>
      <x:c r="D71" s="34" t="str">
        <x:v>requires</x:v>
      </x:c>
      <x:c r="E71" s="34" t="str">
        <x:v>yes</x:v>
      </x:c>
      <x:c r="F71" s="34" t="str">
        <x:v>done</x:v>
      </x:c>
      <x:c r="G71" s="34" t="str">
        <x:v>All listed conditions apply unless an accepted ADR states otherwise.</x:v>
      </x:c>
      <x:c r="H71" s="34" t="str">
        <x:v>ELTS Build Plan P2.6</x:v>
      </x:c>
      <x:c r="I71" s="34" t="str"/>
    </x:row>
    <x:row r="72">
      <x:c r="A72" s="10" t="str">
        <x:v>DEP-0067</x:v>
      </x:c>
      <x:c r="B72" s="10" t="str">
        <x:v>P2.2</x:v>
      </x:c>
      <x:c r="C72" s="10" t="str">
        <x:v>P2.6</x:v>
      </x:c>
      <x:c r="D72" s="10" t="str">
        <x:v>requires</x:v>
      </x:c>
      <x:c r="E72" s="10" t="str">
        <x:v>yes</x:v>
      </x:c>
      <x:c r="F72" s="10" t="str">
        <x:v>done</x:v>
      </x:c>
      <x:c r="G72" s="10" t="str">
        <x:v>All listed conditions apply unless an accepted ADR states otherwise.</x:v>
      </x:c>
      <x:c r="H72" s="10" t="str">
        <x:v>ELTS Build Plan P2.6</x:v>
      </x:c>
      <x:c r="I72" s="10" t="str"/>
    </x:row>
    <x:row r="73">
      <x:c r="A73" s="34" t="str">
        <x:v>DEP-0068</x:v>
      </x:c>
      <x:c r="B73" s="34" t="str">
        <x:v>P2.5</x:v>
      </x:c>
      <x:c r="C73" s="34" t="str">
        <x:v>P2.6</x:v>
      </x:c>
      <x:c r="D73" s="34" t="str">
        <x:v>requires</x:v>
      </x:c>
      <x:c r="E73" s="34" t="str">
        <x:v>yes</x:v>
      </x:c>
      <x:c r="F73" s="34" t="str">
        <x:v>done</x:v>
      </x:c>
      <x:c r="G73" s="34" t="str">
        <x:v>All listed conditions apply unless an accepted ADR states otherwise.</x:v>
      </x:c>
      <x:c r="H73" s="34" t="str">
        <x:v>ELTS Build Plan P2.6</x:v>
      </x:c>
      <x:c r="I73" s="34" t="str"/>
    </x:row>
    <x:row r="74">
      <x:c r="A74" s="10" t="str">
        <x:v>DEP-0069</x:v>
      </x:c>
      <x:c r="B74" s="10" t="str">
        <x:v>G1</x:v>
      </x:c>
      <x:c r="C74" s="10" t="str">
        <x:v>P2.7</x:v>
      </x:c>
      <x:c r="D74" s="10" t="str">
        <x:v>unlocks</x:v>
      </x:c>
      <x:c r="E74" s="10" t="str">
        <x:v>yes</x:v>
      </x:c>
      <x:c r="F74" s="10" t="str">
        <x:v>passed</x:v>
      </x:c>
      <x:c r="G74" s="10" t="str">
        <x:v>May use P2.9 synthetic tracking after G0 until real-pose evidence is required.</x:v>
      </x:c>
      <x:c r="H74" s="10" t="str">
        <x:v>ELTS Build Plan P2.7</x:v>
      </x:c>
      <x:c r="I74" s="10" t="str"/>
    </x:row>
    <x:row r="75">
      <x:c r="A75" s="34" t="str">
        <x:v>DEP-0070</x:v>
      </x:c>
      <x:c r="B75" s="34" t="str">
        <x:v>G0</x:v>
      </x:c>
      <x:c r="C75" s="34" t="str">
        <x:v>P2.7</x:v>
      </x:c>
      <x:c r="D75" s="34" t="str">
        <x:v>unlocks</x:v>
      </x:c>
      <x:c r="E75" s="34" t="str">
        <x:v>yes</x:v>
      </x:c>
      <x:c r="F75" s="34" t="str">
        <x:v>passed</x:v>
      </x:c>
      <x:c r="G75" s="34" t="str">
        <x:v>All listed conditions apply unless an accepted ADR states otherwise.</x:v>
      </x:c>
      <x:c r="H75" s="34" t="str">
        <x:v>ELTS Build Plan P2.7</x:v>
      </x:c>
      <x:c r="I75" s="34" t="str"/>
    </x:row>
    <x:row r="76">
      <x:c r="A76" s="10" t="str">
        <x:v>DEP-0071</x:v>
      </x:c>
      <x:c r="B76" s="10" t="str">
        <x:v>P2.9</x:v>
      </x:c>
      <x:c r="C76" s="10" t="str">
        <x:v>P2.7</x:v>
      </x:c>
      <x:c r="D76" s="10" t="str">
        <x:v>requires</x:v>
      </x:c>
      <x:c r="E76" s="10" t="str">
        <x:v>yes</x:v>
      </x:c>
      <x:c r="F76" s="10" t="str">
        <x:v>done</x:v>
      </x:c>
      <x:c r="G76" s="10" t="str">
        <x:v>All listed conditions apply unless an accepted ADR states otherwise.</x:v>
      </x:c>
      <x:c r="H76" s="10" t="str">
        <x:v>ELTS Build Plan P2.7</x:v>
      </x:c>
      <x:c r="I76" s="10" t="str"/>
    </x:row>
    <x:row r="77">
      <x:c r="A77" s="34" t="str">
        <x:v>DEP-0072</x:v>
      </x:c>
      <x:c r="B77" s="34" t="str">
        <x:v>P2.2</x:v>
      </x:c>
      <x:c r="C77" s="34" t="str">
        <x:v>P2.7</x:v>
      </x:c>
      <x:c r="D77" s="34" t="str">
        <x:v>requires</x:v>
      </x:c>
      <x:c r="E77" s="34" t="str">
        <x:v>yes</x:v>
      </x:c>
      <x:c r="F77" s="34" t="str">
        <x:v>done</x:v>
      </x:c>
      <x:c r="G77" s="34" t="str">
        <x:v>All listed conditions apply unless an accepted ADR states otherwise.</x:v>
      </x:c>
      <x:c r="H77" s="34" t="str">
        <x:v>ELTS Build Plan P2.7</x:v>
      </x:c>
      <x:c r="I77" s="34" t="str"/>
    </x:row>
    <x:row r="78">
      <x:c r="A78" s="10" t="str">
        <x:v>DEP-0073</x:v>
      </x:c>
      <x:c r="B78" s="10" t="str">
        <x:v>P2.4</x:v>
      </x:c>
      <x:c r="C78" s="10" t="str">
        <x:v>P2.7</x:v>
      </x:c>
      <x:c r="D78" s="10" t="str">
        <x:v>requires</x:v>
      </x:c>
      <x:c r="E78" s="10" t="str">
        <x:v>yes</x:v>
      </x:c>
      <x:c r="F78" s="10" t="str">
        <x:v>done</x:v>
      </x:c>
      <x:c r="G78" s="10" t="str">
        <x:v>All listed conditions apply unless an accepted ADR states otherwise.</x:v>
      </x:c>
      <x:c r="H78" s="10" t="str">
        <x:v>ELTS Build Plan P2.7</x:v>
      </x:c>
      <x:c r="I78" s="10" t="str"/>
    </x:row>
    <x:row r="79">
      <x:c r="A79" s="34" t="str">
        <x:v>DEP-0074</x:v>
      </x:c>
      <x:c r="B79" s="34" t="str">
        <x:v>G1</x:v>
      </x:c>
      <x:c r="C79" s="34" t="str">
        <x:v>P2.8</x:v>
      </x:c>
      <x:c r="D79" s="34" t="str">
        <x:v>unlocks</x:v>
      </x:c>
      <x:c r="E79" s="34" t="str">
        <x:v>yes</x:v>
      </x:c>
      <x:c r="F79" s="34" t="str">
        <x:v>passed</x:v>
      </x:c>
      <x:c r="G79" s="34" t="str">
        <x:v>May use P2.9 synthetic tracking after G0 until real-pose evidence is required.</x:v>
      </x:c>
      <x:c r="H79" s="34" t="str">
        <x:v>ELTS Build Plan P2.8</x:v>
      </x:c>
      <x:c r="I79" s="34" t="str"/>
    </x:row>
    <x:row r="80">
      <x:c r="A80" s="10" t="str">
        <x:v>DEP-0075</x:v>
      </x:c>
      <x:c r="B80" s="10" t="str">
        <x:v>G0</x:v>
      </x:c>
      <x:c r="C80" s="10" t="str">
        <x:v>P2.8</x:v>
      </x:c>
      <x:c r="D80" s="10" t="str">
        <x:v>unlocks</x:v>
      </x:c>
      <x:c r="E80" s="10" t="str">
        <x:v>yes</x:v>
      </x:c>
      <x:c r="F80" s="10" t="str">
        <x:v>passed</x:v>
      </x:c>
      <x:c r="G80" s="10" t="str">
        <x:v>All listed conditions apply unless an accepted ADR states otherwise.</x:v>
      </x:c>
      <x:c r="H80" s="10" t="str">
        <x:v>ELTS Build Plan P2.8</x:v>
      </x:c>
      <x:c r="I80" s="10" t="str"/>
    </x:row>
    <x:row r="81">
      <x:c r="A81" s="34" t="str">
        <x:v>DEP-0076</x:v>
      </x:c>
      <x:c r="B81" s="34" t="str">
        <x:v>P2.9</x:v>
      </x:c>
      <x:c r="C81" s="34" t="str">
        <x:v>P2.8</x:v>
      </x:c>
      <x:c r="D81" s="34" t="str">
        <x:v>requires</x:v>
      </x:c>
      <x:c r="E81" s="34" t="str">
        <x:v>yes</x:v>
      </x:c>
      <x:c r="F81" s="34" t="str">
        <x:v>done</x:v>
      </x:c>
      <x:c r="G81" s="34" t="str">
        <x:v>All listed conditions apply unless an accepted ADR states otherwise.</x:v>
      </x:c>
      <x:c r="H81" s="34" t="str">
        <x:v>ELTS Build Plan P2.8</x:v>
      </x:c>
      <x:c r="I81" s="34" t="str"/>
    </x:row>
    <x:row r="82">
      <x:c r="A82" s="10" t="str">
        <x:v>DEP-0077</x:v>
      </x:c>
      <x:c r="B82" s="10" t="str">
        <x:v>P2.5</x:v>
      </x:c>
      <x:c r="C82" s="10" t="str">
        <x:v>P2.8</x:v>
      </x:c>
      <x:c r="D82" s="10" t="str">
        <x:v>requires</x:v>
      </x:c>
      <x:c r="E82" s="10" t="str">
        <x:v>yes</x:v>
      </x:c>
      <x:c r="F82" s="10" t="str">
        <x:v>done</x:v>
      </x:c>
      <x:c r="G82" s="10" t="str">
        <x:v>All listed conditions apply unless an accepted ADR states otherwise.</x:v>
      </x:c>
      <x:c r="H82" s="10" t="str">
        <x:v>ELTS Build Plan P2.8</x:v>
      </x:c>
      <x:c r="I82" s="10" t="str"/>
    </x:row>
    <x:row r="83">
      <x:c r="A83" s="34" t="str">
        <x:v>DEP-0078</x:v>
      </x:c>
      <x:c r="B83" s="34" t="str">
        <x:v>P2.6</x:v>
      </x:c>
      <x:c r="C83" s="34" t="str">
        <x:v>P2.8</x:v>
      </x:c>
      <x:c r="D83" s="34" t="str">
        <x:v>requires</x:v>
      </x:c>
      <x:c r="E83" s="34" t="str">
        <x:v>yes</x:v>
      </x:c>
      <x:c r="F83" s="34" t="str">
        <x:v>done</x:v>
      </x:c>
      <x:c r="G83" s="34" t="str">
        <x:v>All listed conditions apply unless an accepted ADR states otherwise.</x:v>
      </x:c>
      <x:c r="H83" s="34" t="str">
        <x:v>ELTS Build Plan P2.8</x:v>
      </x:c>
      <x:c r="I83" s="34" t="str"/>
    </x:row>
    <x:row r="84">
      <x:c r="A84" s="10" t="str">
        <x:v>DEP-0079</x:v>
      </x:c>
      <x:c r="B84" s="10" t="str">
        <x:v>G1</x:v>
      </x:c>
      <x:c r="C84" s="10" t="str">
        <x:v>P2.9</x:v>
      </x:c>
      <x:c r="D84" s="10" t="str">
        <x:v>unlocks</x:v>
      </x:c>
      <x:c r="E84" s="10" t="str">
        <x:v>yes</x:v>
      </x:c>
      <x:c r="F84" s="10" t="str">
        <x:v>passed</x:v>
      </x:c>
      <x:c r="G84" s="10" t="str">
        <x:v>May use P2.9 synthetic tracking after G0 until real-pose evidence is required.</x:v>
      </x:c>
      <x:c r="H84" s="10" t="str">
        <x:v>ELTS Build Plan P2.9</x:v>
      </x:c>
      <x:c r="I84" s="10" t="str"/>
    </x:row>
    <x:row r="85">
      <x:c r="A85" s="34" t="str">
        <x:v>DEP-0080</x:v>
      </x:c>
      <x:c r="B85" s="34" t="str">
        <x:v>G0</x:v>
      </x:c>
      <x:c r="C85" s="34" t="str">
        <x:v>P2.9</x:v>
      </x:c>
      <x:c r="D85" s="34" t="str">
        <x:v>unlocks</x:v>
      </x:c>
      <x:c r="E85" s="34" t="str">
        <x:v>yes</x:v>
      </x:c>
      <x:c r="F85" s="34" t="str">
        <x:v>passed</x:v>
      </x:c>
      <x:c r="G85" s="34" t="str">
        <x:v>All listed conditions apply unless an accepted ADR states otherwise.</x:v>
      </x:c>
      <x:c r="H85" s="34" t="str">
        <x:v>ELTS Build Plan P2.9</x:v>
      </x:c>
      <x:c r="I85" s="34" t="str"/>
    </x:row>
    <x:row r="86">
      <x:c r="A86" s="10" t="str">
        <x:v>DEP-0081</x:v>
      </x:c>
      <x:c r="B86" s="10" t="str">
        <x:v>P2.9</x:v>
      </x:c>
      <x:c r="C86" s="10" t="str">
        <x:v>P2.9</x:v>
      </x:c>
      <x:c r="D86" s="10" t="str">
        <x:v>requires</x:v>
      </x:c>
      <x:c r="E86" s="10" t="str">
        <x:v>yes</x:v>
      </x:c>
      <x:c r="F86" s="10" t="str">
        <x:v>done</x:v>
      </x:c>
      <x:c r="G86" s="10" t="str">
        <x:v>All listed conditions apply unless an accepted ADR states otherwise.</x:v>
      </x:c>
      <x:c r="H86" s="10" t="str">
        <x:v>ELTS Build Plan P2.9</x:v>
      </x:c>
      <x:c r="I86" s="10" t="str"/>
    </x:row>
    <x:row r="87">
      <x:c r="A87" s="34" t="str">
        <x:v>DEP-0082</x:v>
      </x:c>
      <x:c r="B87" s="34" t="str">
        <x:v>P2.1</x:v>
      </x:c>
      <x:c r="C87" s="34" t="str">
        <x:v>P2.9</x:v>
      </x:c>
      <x:c r="D87" s="34" t="str">
        <x:v>requires</x:v>
      </x:c>
      <x:c r="E87" s="34" t="str">
        <x:v>yes</x:v>
      </x:c>
      <x:c r="F87" s="34" t="str">
        <x:v>done</x:v>
      </x:c>
      <x:c r="G87" s="34" t="str">
        <x:v>All listed conditions apply unless an accepted ADR states otherwise.</x:v>
      </x:c>
      <x:c r="H87" s="34" t="str">
        <x:v>ELTS Build Plan P2.9</x:v>
      </x:c>
      <x:c r="I87" s="34" t="str"/>
    </x:row>
    <x:row r="88">
      <x:c r="A88" s="10" t="str">
        <x:v>DEP-0083</x:v>
      </x:c>
      <x:c r="B88" s="10" t="str">
        <x:v>P2.2</x:v>
      </x:c>
      <x:c r="C88" s="10" t="str">
        <x:v>P2.9</x:v>
      </x:c>
      <x:c r="D88" s="10" t="str">
        <x:v>requires</x:v>
      </x:c>
      <x:c r="E88" s="10" t="str">
        <x:v>yes</x:v>
      </x:c>
      <x:c r="F88" s="10" t="str">
        <x:v>done</x:v>
      </x:c>
      <x:c r="G88" s="10" t="str">
        <x:v>All listed conditions apply unless an accepted ADR states otherwise.</x:v>
      </x:c>
      <x:c r="H88" s="10" t="str">
        <x:v>ELTS Build Plan P2.9</x:v>
      </x:c>
      <x:c r="I88" s="10" t="str"/>
    </x:row>
    <x:row r="89">
      <x:c r="A89" s="34" t="str">
        <x:v>DEP-0084</x:v>
      </x:c>
      <x:c r="B89" s="34" t="str">
        <x:v>G2</x:v>
      </x:c>
      <x:c r="C89" s="34" t="str">
        <x:v>P3.1</x:v>
      </x:c>
      <x:c r="D89" s="34" t="str">
        <x:v>unlocks</x:v>
      </x:c>
      <x:c r="E89" s="34" t="str">
        <x:v>yes</x:v>
      </x:c>
      <x:c r="F89" s="34" t="str">
        <x:v>passed</x:v>
      </x:c>
      <x:c r="G89" s="34" t="str">
        <x:v>All listed conditions apply unless an accepted ADR states otherwise.</x:v>
      </x:c>
      <x:c r="H89" s="34" t="str">
        <x:v>ELTS Build Plan P3.1</x:v>
      </x:c>
      <x:c r="I89" s="34" t="str"/>
    </x:row>
    <x:row r="90">
      <x:c r="A90" s="10" t="str">
        <x:v>DEP-0085</x:v>
      </x:c>
      <x:c r="B90" s="10" t="str">
        <x:v>P1.14</x:v>
      </x:c>
      <x:c r="C90" s="10" t="str">
        <x:v>P3.1</x:v>
      </x:c>
      <x:c r="D90" s="10" t="str">
        <x:v>requires</x:v>
      </x:c>
      <x:c r="E90" s="10" t="str">
        <x:v>yes</x:v>
      </x:c>
      <x:c r="F90" s="10" t="str">
        <x:v>done</x:v>
      </x:c>
      <x:c r="G90" s="10" t="str">
        <x:v>All listed conditions apply unless an accepted ADR states otherwise.</x:v>
      </x:c>
      <x:c r="H90" s="10" t="str">
        <x:v>ELTS Build Plan P3.1</x:v>
      </x:c>
      <x:c r="I90" s="10" t="str"/>
    </x:row>
    <x:row r="91">
      <x:c r="A91" s="34" t="str">
        <x:v>DEP-0086</x:v>
      </x:c>
      <x:c r="B91" s="34" t="str">
        <x:v>G2</x:v>
      </x:c>
      <x:c r="C91" s="34" t="str">
        <x:v>P3.2</x:v>
      </x:c>
      <x:c r="D91" s="34" t="str">
        <x:v>unlocks</x:v>
      </x:c>
      <x:c r="E91" s="34" t="str">
        <x:v>yes</x:v>
      </x:c>
      <x:c r="F91" s="34" t="str">
        <x:v>passed</x:v>
      </x:c>
      <x:c r="G91" s="34" t="str">
        <x:v>All listed conditions apply unless an accepted ADR states otherwise.</x:v>
      </x:c>
      <x:c r="H91" s="34" t="str">
        <x:v>ELTS Build Plan P3.2</x:v>
      </x:c>
      <x:c r="I91" s="34" t="str"/>
    </x:row>
    <x:row r="92">
      <x:c r="A92" s="10" t="str">
        <x:v>DEP-0087</x:v>
      </x:c>
      <x:c r="B92" s="10" t="str">
        <x:v>P1.14</x:v>
      </x:c>
      <x:c r="C92" s="10" t="str">
        <x:v>P3.2</x:v>
      </x:c>
      <x:c r="D92" s="10" t="str">
        <x:v>requires</x:v>
      </x:c>
      <x:c r="E92" s="10" t="str">
        <x:v>yes</x:v>
      </x:c>
      <x:c r="F92" s="10" t="str">
        <x:v>done</x:v>
      </x:c>
      <x:c r="G92" s="10" t="str">
        <x:v>All listed conditions apply unless an accepted ADR states otherwise.</x:v>
      </x:c>
      <x:c r="H92" s="10" t="str">
        <x:v>ELTS Build Plan P3.2</x:v>
      </x:c>
      <x:c r="I92" s="10" t="str"/>
    </x:row>
    <x:row r="93">
      <x:c r="A93" s="34" t="str">
        <x:v>DEP-0088</x:v>
      </x:c>
      <x:c r="B93" s="34" t="str">
        <x:v>P2.3</x:v>
      </x:c>
      <x:c r="C93" s="34" t="str">
        <x:v>P3.2</x:v>
      </x:c>
      <x:c r="D93" s="34" t="str">
        <x:v>requires</x:v>
      </x:c>
      <x:c r="E93" s="34" t="str">
        <x:v>yes</x:v>
      </x:c>
      <x:c r="F93" s="34" t="str">
        <x:v>done</x:v>
      </x:c>
      <x:c r="G93" s="34" t="str">
        <x:v>All listed conditions apply unless an accepted ADR states otherwise.</x:v>
      </x:c>
      <x:c r="H93" s="34" t="str">
        <x:v>ELTS Build Plan P3.2</x:v>
      </x:c>
      <x:c r="I93" s="34" t="str"/>
    </x:row>
    <x:row r="94">
      <x:c r="A94" s="10" t="str">
        <x:v>DEP-0089</x:v>
      </x:c>
      <x:c r="B94" s="10" t="str">
        <x:v>P2.4</x:v>
      </x:c>
      <x:c r="C94" s="10" t="str">
        <x:v>P3.2</x:v>
      </x:c>
      <x:c r="D94" s="10" t="str">
        <x:v>requires</x:v>
      </x:c>
      <x:c r="E94" s="10" t="str">
        <x:v>yes</x:v>
      </x:c>
      <x:c r="F94" s="10" t="str">
        <x:v>done</x:v>
      </x:c>
      <x:c r="G94" s="10" t="str">
        <x:v>All listed conditions apply unless an accepted ADR states otherwise.</x:v>
      </x:c>
      <x:c r="H94" s="10" t="str">
        <x:v>ELTS Build Plan P3.2</x:v>
      </x:c>
      <x:c r="I94" s="10" t="str"/>
    </x:row>
    <x:row r="95">
      <x:c r="A95" s="34" t="str">
        <x:v>DEP-0090</x:v>
      </x:c>
      <x:c r="B95" s="34" t="str">
        <x:v>P3.1</x:v>
      </x:c>
      <x:c r="C95" s="34" t="str">
        <x:v>P3.2</x:v>
      </x:c>
      <x:c r="D95" s="34" t="str">
        <x:v>requires</x:v>
      </x:c>
      <x:c r="E95" s="34" t="str">
        <x:v>yes</x:v>
      </x:c>
      <x:c r="F95" s="34" t="str">
        <x:v>done</x:v>
      </x:c>
      <x:c r="G95" s="34" t="str">
        <x:v>All listed conditions apply unless an accepted ADR states otherwise.</x:v>
      </x:c>
      <x:c r="H95" s="34" t="str">
        <x:v>ELTS Build Plan P3.2</x:v>
      </x:c>
      <x:c r="I95" s="34" t="str"/>
    </x:row>
    <x:row r="96">
      <x:c r="A96" s="10" t="str">
        <x:v>DEP-0091</x:v>
      </x:c>
      <x:c r="B96" s="10" t="str">
        <x:v>G2</x:v>
      </x:c>
      <x:c r="C96" s="10" t="str">
        <x:v>P3.3</x:v>
      </x:c>
      <x:c r="D96" s="10" t="str">
        <x:v>unlocks</x:v>
      </x:c>
      <x:c r="E96" s="10" t="str">
        <x:v>yes</x:v>
      </x:c>
      <x:c r="F96" s="10" t="str">
        <x:v>passed</x:v>
      </x:c>
      <x:c r="G96" s="10" t="str">
        <x:v>All listed conditions apply unless an accepted ADR states otherwise.</x:v>
      </x:c>
      <x:c r="H96" s="10" t="str">
        <x:v>ELTS Build Plan P3.3</x:v>
      </x:c>
      <x:c r="I96" s="10" t="str"/>
    </x:row>
    <x:row r="97">
      <x:c r="A97" s="34" t="str">
        <x:v>DEP-0092</x:v>
      </x:c>
      <x:c r="B97" s="34" t="str">
        <x:v>P1.14</x:v>
      </x:c>
      <x:c r="C97" s="34" t="str">
        <x:v>P3.3</x:v>
      </x:c>
      <x:c r="D97" s="34" t="str">
        <x:v>requires</x:v>
      </x:c>
      <x:c r="E97" s="34" t="str">
        <x:v>yes</x:v>
      </x:c>
      <x:c r="F97" s="34" t="str">
        <x:v>done</x:v>
      </x:c>
      <x:c r="G97" s="34" t="str">
        <x:v>All listed conditions apply unless an accepted ADR states otherwise.</x:v>
      </x:c>
      <x:c r="H97" s="34" t="str">
        <x:v>ELTS Build Plan P3.3</x:v>
      </x:c>
      <x:c r="I97" s="34" t="str"/>
    </x:row>
    <x:row r="98">
      <x:c r="A98" s="10" t="str">
        <x:v>DEP-0093</x:v>
      </x:c>
      <x:c r="B98" s="10" t="str">
        <x:v>P3.2</x:v>
      </x:c>
      <x:c r="C98" s="10" t="str">
        <x:v>P3.3</x:v>
      </x:c>
      <x:c r="D98" s="10" t="str">
        <x:v>requires</x:v>
      </x:c>
      <x:c r="E98" s="10" t="str">
        <x:v>yes</x:v>
      </x:c>
      <x:c r="F98" s="10" t="str">
        <x:v>done</x:v>
      </x:c>
      <x:c r="G98" s="10" t="str">
        <x:v>All listed conditions apply unless an accepted ADR states otherwise.</x:v>
      </x:c>
      <x:c r="H98" s="10" t="str">
        <x:v>ELTS Build Plan P3.3</x:v>
      </x:c>
      <x:c r="I98" s="10" t="str"/>
    </x:row>
    <x:row r="99">
      <x:c r="A99" s="34" t="str">
        <x:v>DEP-0094</x:v>
      </x:c>
      <x:c r="B99" s="34" t="str">
        <x:v>P1.13</x:v>
      </x:c>
      <x:c r="C99" s="34" t="str">
        <x:v>P3.3</x:v>
      </x:c>
      <x:c r="D99" s="34" t="str">
        <x:v>requires</x:v>
      </x:c>
      <x:c r="E99" s="34" t="str">
        <x:v>yes</x:v>
      </x:c>
      <x:c r="F99" s="34" t="str">
        <x:v>done</x:v>
      </x:c>
      <x:c r="G99" s="34" t="str">
        <x:v>All listed conditions apply unless an accepted ADR states otherwise.</x:v>
      </x:c>
      <x:c r="H99" s="34" t="str">
        <x:v>ELTS Build Plan P3.3</x:v>
      </x:c>
      <x:c r="I99" s="34" t="str"/>
    </x:row>
    <x:row r="100">
      <x:c r="A100" s="10" t="str">
        <x:v>DEP-0095</x:v>
      </x:c>
      <x:c r="B100" s="10" t="str">
        <x:v>G2</x:v>
      </x:c>
      <x:c r="C100" s="10" t="str">
        <x:v>P3.4</x:v>
      </x:c>
      <x:c r="D100" s="10" t="str">
        <x:v>unlocks</x:v>
      </x:c>
      <x:c r="E100" s="10" t="str">
        <x:v>yes</x:v>
      </x:c>
      <x:c r="F100" s="10" t="str">
        <x:v>passed</x:v>
      </x:c>
      <x:c r="G100" s="10" t="str">
        <x:v>All listed conditions apply unless an accepted ADR states otherwise.</x:v>
      </x:c>
      <x:c r="H100" s="10" t="str">
        <x:v>ELTS Build Plan P3.4</x:v>
      </x:c>
      <x:c r="I100" s="10" t="str"/>
    </x:row>
    <x:row r="101">
      <x:c r="A101" s="34" t="str">
        <x:v>DEP-0096</x:v>
      </x:c>
      <x:c r="B101" s="34" t="str">
        <x:v>P1.14</x:v>
      </x:c>
      <x:c r="C101" s="34" t="str">
        <x:v>P3.4</x:v>
      </x:c>
      <x:c r="D101" s="34" t="str">
        <x:v>requires</x:v>
      </x:c>
      <x:c r="E101" s="34" t="str">
        <x:v>yes</x:v>
      </x:c>
      <x:c r="F101" s="34" t="str">
        <x:v>done</x:v>
      </x:c>
      <x:c r="G101" s="34" t="str">
        <x:v>All listed conditions apply unless an accepted ADR states otherwise.</x:v>
      </x:c>
      <x:c r="H101" s="34" t="str">
        <x:v>ELTS Build Plan P3.4</x:v>
      </x:c>
      <x:c r="I101" s="34" t="str"/>
    </x:row>
    <x:row r="102">
      <x:c r="A102" s="10" t="str">
        <x:v>DEP-0097</x:v>
      </x:c>
      <x:c r="B102" s="10" t="str">
        <x:v>P2.3</x:v>
      </x:c>
      <x:c r="C102" s="10" t="str">
        <x:v>P3.4</x:v>
      </x:c>
      <x:c r="D102" s="10" t="str">
        <x:v>requires</x:v>
      </x:c>
      <x:c r="E102" s="10" t="str">
        <x:v>yes</x:v>
      </x:c>
      <x:c r="F102" s="10" t="str">
        <x:v>done</x:v>
      </x:c>
      <x:c r="G102" s="10" t="str">
        <x:v>All listed conditions apply unless an accepted ADR states otherwise.</x:v>
      </x:c>
      <x:c r="H102" s="10" t="str">
        <x:v>ELTS Build Plan P3.4</x:v>
      </x:c>
      <x:c r="I102" s="10" t="str"/>
    </x:row>
    <x:row r="103">
      <x:c r="A103" s="34" t="str">
        <x:v>DEP-0098</x:v>
      </x:c>
      <x:c r="B103" s="34" t="str">
        <x:v>P2.4</x:v>
      </x:c>
      <x:c r="C103" s="34" t="str">
        <x:v>P3.4</x:v>
      </x:c>
      <x:c r="D103" s="34" t="str">
        <x:v>requires</x:v>
      </x:c>
      <x:c r="E103" s="34" t="str">
        <x:v>yes</x:v>
      </x:c>
      <x:c r="F103" s="34" t="str">
        <x:v>done</x:v>
      </x:c>
      <x:c r="G103" s="34" t="str">
        <x:v>All listed conditions apply unless an accepted ADR states otherwise.</x:v>
      </x:c>
      <x:c r="H103" s="34" t="str">
        <x:v>ELTS Build Plan P3.4</x:v>
      </x:c>
      <x:c r="I103" s="34" t="str"/>
    </x:row>
    <x:row r="104">
      <x:c r="A104" s="10" t="str">
        <x:v>DEP-0099</x:v>
      </x:c>
      <x:c r="B104" s="10" t="str">
        <x:v>P3.1</x:v>
      </x:c>
      <x:c r="C104" s="10" t="str">
        <x:v>P3.4</x:v>
      </x:c>
      <x:c r="D104" s="10" t="str">
        <x:v>requires</x:v>
      </x:c>
      <x:c r="E104" s="10" t="str">
        <x:v>yes</x:v>
      </x:c>
      <x:c r="F104" s="10" t="str">
        <x:v>done</x:v>
      </x:c>
      <x:c r="G104" s="10" t="str">
        <x:v>All listed conditions apply unless an accepted ADR states otherwise.</x:v>
      </x:c>
      <x:c r="H104" s="10" t="str">
        <x:v>ELTS Build Plan P3.4</x:v>
      </x:c>
      <x:c r="I104" s="10" t="str"/>
    </x:row>
    <x:row r="105">
      <x:c r="A105" s="34" t="str">
        <x:v>DEP-0100</x:v>
      </x:c>
      <x:c r="B105" s="34" t="str">
        <x:v>G2</x:v>
      </x:c>
      <x:c r="C105" s="34" t="str">
        <x:v>P3.5</x:v>
      </x:c>
      <x:c r="D105" s="34" t="str">
        <x:v>unlocks</x:v>
      </x:c>
      <x:c r="E105" s="34" t="str">
        <x:v>yes</x:v>
      </x:c>
      <x:c r="F105" s="34" t="str">
        <x:v>passed</x:v>
      </x:c>
      <x:c r="G105" s="34" t="str">
        <x:v>All listed conditions apply unless an accepted ADR states otherwise.</x:v>
      </x:c>
      <x:c r="H105" s="34" t="str">
        <x:v>ELTS Build Plan P3.5</x:v>
      </x:c>
      <x:c r="I105" s="34" t="str"/>
    </x:row>
    <x:row r="106">
      <x:c r="A106" s="10" t="str">
        <x:v>DEP-0101</x:v>
      </x:c>
      <x:c r="B106" s="10" t="str">
        <x:v>P1.14</x:v>
      </x:c>
      <x:c r="C106" s="10" t="str">
        <x:v>P3.5</x:v>
      </x:c>
      <x:c r="D106" s="10" t="str">
        <x:v>requires</x:v>
      </x:c>
      <x:c r="E106" s="10" t="str">
        <x:v>yes</x:v>
      </x:c>
      <x:c r="F106" s="10" t="str">
        <x:v>done</x:v>
      </x:c>
      <x:c r="G106" s="10" t="str">
        <x:v>All listed conditions apply unless an accepted ADR states otherwise.</x:v>
      </x:c>
      <x:c r="H106" s="10" t="str">
        <x:v>ELTS Build Plan P3.5</x:v>
      </x:c>
      <x:c r="I106" s="10" t="str"/>
    </x:row>
    <x:row r="107">
      <x:c r="A107" s="34" t="str">
        <x:v>DEP-0102</x:v>
      </x:c>
      <x:c r="B107" s="34" t="str">
        <x:v>P1.10</x:v>
      </x:c>
      <x:c r="C107" s="34" t="str">
        <x:v>P3.5</x:v>
      </x:c>
      <x:c r="D107" s="34" t="str">
        <x:v>requires</x:v>
      </x:c>
      <x:c r="E107" s="34" t="str">
        <x:v>yes</x:v>
      </x:c>
      <x:c r="F107" s="34" t="str">
        <x:v>done</x:v>
      </x:c>
      <x:c r="G107" s="34" t="str">
        <x:v>All listed conditions apply unless an accepted ADR states otherwise.</x:v>
      </x:c>
      <x:c r="H107" s="34" t="str">
        <x:v>ELTS Build Plan P3.5</x:v>
      </x:c>
      <x:c r="I107" s="34" t="str"/>
    </x:row>
    <x:row r="108">
      <x:c r="A108" s="10" t="str">
        <x:v>DEP-0103</x:v>
      </x:c>
      <x:c r="B108" s="10" t="str">
        <x:v>G2</x:v>
      </x:c>
      <x:c r="C108" s="10" t="str">
        <x:v>P3.6</x:v>
      </x:c>
      <x:c r="D108" s="10" t="str">
        <x:v>unlocks</x:v>
      </x:c>
      <x:c r="E108" s="10" t="str">
        <x:v>yes</x:v>
      </x:c>
      <x:c r="F108" s="10" t="str">
        <x:v>passed</x:v>
      </x:c>
      <x:c r="G108" s="10" t="str">
        <x:v>All listed conditions apply unless an accepted ADR states otherwise.</x:v>
      </x:c>
      <x:c r="H108" s="10" t="str">
        <x:v>ELTS Build Plan P3.6</x:v>
      </x:c>
      <x:c r="I108" s="10" t="str"/>
    </x:row>
    <x:row r="109">
      <x:c r="A109" s="34" t="str">
        <x:v>DEP-0104</x:v>
      </x:c>
      <x:c r="B109" s="34" t="str">
        <x:v>P1.14</x:v>
      </x:c>
      <x:c r="C109" s="34" t="str">
        <x:v>P3.6</x:v>
      </x:c>
      <x:c r="D109" s="34" t="str">
        <x:v>requires</x:v>
      </x:c>
      <x:c r="E109" s="34" t="str">
        <x:v>yes</x:v>
      </x:c>
      <x:c r="F109" s="34" t="str">
        <x:v>done</x:v>
      </x:c>
      <x:c r="G109" s="34" t="str">
        <x:v>All listed conditions apply unless an accepted ADR states otherwise.</x:v>
      </x:c>
      <x:c r="H109" s="34" t="str">
        <x:v>ELTS Build Plan P3.6</x:v>
      </x:c>
      <x:c r="I109" s="34" t="str"/>
    </x:row>
    <x:row r="110">
      <x:c r="A110" s="10" t="str">
        <x:v>DEP-0105</x:v>
      </x:c>
      <x:c r="B110" s="10" t="str">
        <x:v>P3.2</x:v>
      </x:c>
      <x:c r="C110" s="10" t="str">
        <x:v>P3.6</x:v>
      </x:c>
      <x:c r="D110" s="10" t="str">
        <x:v>requires</x:v>
      </x:c>
      <x:c r="E110" s="10" t="str">
        <x:v>yes</x:v>
      </x:c>
      <x:c r="F110" s="10" t="str">
        <x:v>done</x:v>
      </x:c>
      <x:c r="G110" s="10" t="str">
        <x:v>All listed conditions apply unless an accepted ADR states otherwise.</x:v>
      </x:c>
      <x:c r="H110" s="10" t="str">
        <x:v>ELTS Build Plan P3.6</x:v>
      </x:c>
      <x:c r="I110" s="10" t="str"/>
    </x:row>
    <x:row r="111">
      <x:c r="A111" s="34" t="str">
        <x:v>DEP-0106</x:v>
      </x:c>
      <x:c r="B111" s="34" t="str">
        <x:v>P2.5</x:v>
      </x:c>
      <x:c r="C111" s="34" t="str">
        <x:v>P3.6</x:v>
      </x:c>
      <x:c r="D111" s="34" t="str">
        <x:v>requires</x:v>
      </x:c>
      <x:c r="E111" s="34" t="str">
        <x:v>yes</x:v>
      </x:c>
      <x:c r="F111" s="34" t="str">
        <x:v>done</x:v>
      </x:c>
      <x:c r="G111" s="34" t="str">
        <x:v>All listed conditions apply unless an accepted ADR states otherwise.</x:v>
      </x:c>
      <x:c r="H111" s="34" t="str">
        <x:v>ELTS Build Plan P3.6</x:v>
      </x:c>
      <x:c r="I111" s="34" t="str"/>
    </x:row>
    <x:row r="112">
      <x:c r="A112" s="10" t="str">
        <x:v>DEP-0107</x:v>
      </x:c>
      <x:c r="B112" s="10" t="str">
        <x:v>G2</x:v>
      </x:c>
      <x:c r="C112" s="10" t="str">
        <x:v>P3.7</x:v>
      </x:c>
      <x:c r="D112" s="10" t="str">
        <x:v>unlocks</x:v>
      </x:c>
      <x:c r="E112" s="10" t="str">
        <x:v>yes</x:v>
      </x:c>
      <x:c r="F112" s="10" t="str">
        <x:v>passed</x:v>
      </x:c>
      <x:c r="G112" s="10" t="str">
        <x:v>All listed conditions apply unless an accepted ADR states otherwise.</x:v>
      </x:c>
      <x:c r="H112" s="10" t="str">
        <x:v>ELTS Build Plan P3.7</x:v>
      </x:c>
      <x:c r="I112" s="10" t="str"/>
    </x:row>
    <x:row r="113">
      <x:c r="A113" s="34" t="str">
        <x:v>DEP-0108</x:v>
      </x:c>
      <x:c r="B113" s="34" t="str">
        <x:v>P1.14</x:v>
      </x:c>
      <x:c r="C113" s="34" t="str">
        <x:v>P3.7</x:v>
      </x:c>
      <x:c r="D113" s="34" t="str">
        <x:v>requires</x:v>
      </x:c>
      <x:c r="E113" s="34" t="str">
        <x:v>yes</x:v>
      </x:c>
      <x:c r="F113" s="34" t="str">
        <x:v>done</x:v>
      </x:c>
      <x:c r="G113" s="34" t="str">
        <x:v>All listed conditions apply unless an accepted ADR states otherwise.</x:v>
      </x:c>
      <x:c r="H113" s="34" t="str">
        <x:v>ELTS Build Plan P3.7</x:v>
      </x:c>
      <x:c r="I113" s="34" t="str"/>
    </x:row>
    <x:row r="114">
      <x:c r="A114" s="10" t="str">
        <x:v>DEP-0109</x:v>
      </x:c>
      <x:c r="B114" s="10" t="str">
        <x:v>P3.2</x:v>
      </x:c>
      <x:c r="C114" s="10" t="str">
        <x:v>P3.7</x:v>
      </x:c>
      <x:c r="D114" s="10" t="str">
        <x:v>requires</x:v>
      </x:c>
      <x:c r="E114" s="10" t="str">
        <x:v>yes</x:v>
      </x:c>
      <x:c r="F114" s="10" t="str">
        <x:v>done</x:v>
      </x:c>
      <x:c r="G114" s="10" t="str">
        <x:v>All listed conditions apply unless an accepted ADR states otherwise.</x:v>
      </x:c>
      <x:c r="H114" s="10" t="str">
        <x:v>ELTS Build Plan P3.7</x:v>
      </x:c>
      <x:c r="I114" s="10" t="str"/>
    </x:row>
    <x:row r="115">
      <x:c r="A115" s="34" t="str">
        <x:v>DEP-0110</x:v>
      </x:c>
      <x:c r="B115" s="34" t="str">
        <x:v>P3.4</x:v>
      </x:c>
      <x:c r="C115" s="34" t="str">
        <x:v>P3.7</x:v>
      </x:c>
      <x:c r="D115" s="34" t="str">
        <x:v>requires</x:v>
      </x:c>
      <x:c r="E115" s="34" t="str">
        <x:v>yes</x:v>
      </x:c>
      <x:c r="F115" s="34" t="str">
        <x:v>done</x:v>
      </x:c>
      <x:c r="G115" s="34" t="str">
        <x:v>All listed conditions apply unless an accepted ADR states otherwise.</x:v>
      </x:c>
      <x:c r="H115" s="34" t="str">
        <x:v>ELTS Build Plan P3.7</x:v>
      </x:c>
      <x:c r="I115" s="34" t="str"/>
    </x:row>
    <x:row r="116">
      <x:c r="A116" s="10" t="str">
        <x:v>DEP-0111</x:v>
      </x:c>
      <x:c r="B116" s="10" t="str">
        <x:v>G2</x:v>
      </x:c>
      <x:c r="C116" s="10" t="str">
        <x:v>P3.8</x:v>
      </x:c>
      <x:c r="D116" s="10" t="str">
        <x:v>unlocks</x:v>
      </x:c>
      <x:c r="E116" s="10" t="str">
        <x:v>yes</x:v>
      </x:c>
      <x:c r="F116" s="10" t="str">
        <x:v>passed</x:v>
      </x:c>
      <x:c r="G116" s="10" t="str">
        <x:v>All listed conditions apply unless an accepted ADR states otherwise.</x:v>
      </x:c>
      <x:c r="H116" s="10" t="str">
        <x:v>ELTS Build Plan P3.8</x:v>
      </x:c>
      <x:c r="I116" s="10" t="str"/>
    </x:row>
    <x:row r="117">
      <x:c r="A117" s="34" t="str">
        <x:v>DEP-0112</x:v>
      </x:c>
      <x:c r="B117" s="34" t="str">
        <x:v>P1.14</x:v>
      </x:c>
      <x:c r="C117" s="34" t="str">
        <x:v>P3.8</x:v>
      </x:c>
      <x:c r="D117" s="34" t="str">
        <x:v>requires</x:v>
      </x:c>
      <x:c r="E117" s="34" t="str">
        <x:v>yes</x:v>
      </x:c>
      <x:c r="F117" s="34" t="str">
        <x:v>done</x:v>
      </x:c>
      <x:c r="G117" s="34" t="str">
        <x:v>All listed conditions apply unless an accepted ADR states otherwise.</x:v>
      </x:c>
      <x:c r="H117" s="34" t="str">
        <x:v>ELTS Build Plan P3.8</x:v>
      </x:c>
      <x:c r="I117" s="34" t="str"/>
    </x:row>
    <x:row r="118">
      <x:c r="A118" s="10" t="str">
        <x:v>DEP-0113</x:v>
      </x:c>
      <x:c r="B118" s="10" t="str">
        <x:v>P2.5</x:v>
      </x:c>
      <x:c r="C118" s="10" t="str">
        <x:v>P3.8</x:v>
      </x:c>
      <x:c r="D118" s="10" t="str">
        <x:v>requires</x:v>
      </x:c>
      <x:c r="E118" s="10" t="str">
        <x:v>yes</x:v>
      </x:c>
      <x:c r="F118" s="10" t="str">
        <x:v>done</x:v>
      </x:c>
      <x:c r="G118" s="10" t="str">
        <x:v>All listed conditions apply unless an accepted ADR states otherwise.</x:v>
      </x:c>
      <x:c r="H118" s="10" t="str">
        <x:v>ELTS Build Plan P3.8</x:v>
      </x:c>
      <x:c r="I118" s="10" t="str"/>
    </x:row>
    <x:row r="119">
      <x:c r="A119" s="34" t="str">
        <x:v>DEP-0114</x:v>
      </x:c>
      <x:c r="B119" s="34" t="str">
        <x:v>P3.4</x:v>
      </x:c>
      <x:c r="C119" s="34" t="str">
        <x:v>P3.8</x:v>
      </x:c>
      <x:c r="D119" s="34" t="str">
        <x:v>requires</x:v>
      </x:c>
      <x:c r="E119" s="34" t="str">
        <x:v>yes</x:v>
      </x:c>
      <x:c r="F119" s="34" t="str">
        <x:v>done</x:v>
      </x:c>
      <x:c r="G119" s="34" t="str">
        <x:v>All listed conditions apply unless an accepted ADR states otherwise.</x:v>
      </x:c>
      <x:c r="H119" s="34" t="str">
        <x:v>ELTS Build Plan P3.8</x:v>
      </x:c>
      <x:c r="I119" s="34" t="str"/>
    </x:row>
    <x:row r="120">
      <x:c r="A120" s="10" t="str">
        <x:v>DEP-0115</x:v>
      </x:c>
      <x:c r="B120" s="10" t="str">
        <x:v>G3</x:v>
      </x:c>
      <x:c r="C120" s="10" t="str">
        <x:v>P4.1</x:v>
      </x:c>
      <x:c r="D120" s="10" t="str">
        <x:v>unlocks</x:v>
      </x:c>
      <x:c r="E120" s="10" t="str">
        <x:v>yes</x:v>
      </x:c>
      <x:c r="F120" s="10" t="str">
        <x:v>passed</x:v>
      </x:c>
      <x:c r="G120" s="10" t="str">
        <x:v>All listed conditions apply unless an accepted ADR states otherwise.</x:v>
      </x:c>
      <x:c r="H120" s="10" t="str">
        <x:v>ELTS Build Plan P4.1</x:v>
      </x:c>
      <x:c r="I120" s="10" t="str"/>
    </x:row>
    <x:row r="121">
      <x:c r="A121" s="34" t="str">
        <x:v>DEP-0116</x:v>
      </x:c>
      <x:c r="B121" s="34" t="str">
        <x:v>G3</x:v>
      </x:c>
      <x:c r="C121" s="34" t="str">
        <x:v>P4.2</x:v>
      </x:c>
      <x:c r="D121" s="34" t="str">
        <x:v>unlocks</x:v>
      </x:c>
      <x:c r="E121" s="34" t="str">
        <x:v>yes</x:v>
      </x:c>
      <x:c r="F121" s="34" t="str">
        <x:v>passed</x:v>
      </x:c>
      <x:c r="G121" s="34" t="str">
        <x:v>All listed conditions apply unless an accepted ADR states otherwise.</x:v>
      </x:c>
      <x:c r="H121" s="34" t="str">
        <x:v>ELTS Build Plan P4.2</x:v>
      </x:c>
      <x:c r="I121" s="34" t="str"/>
    </x:row>
    <x:row r="122">
      <x:c r="A122" s="10" t="str">
        <x:v>DEP-0117</x:v>
      </x:c>
      <x:c r="B122" s="10" t="str">
        <x:v>P4.1</x:v>
      </x:c>
      <x:c r="C122" s="10" t="str">
        <x:v>P4.2</x:v>
      </x:c>
      <x:c r="D122" s="10" t="str">
        <x:v>requires</x:v>
      </x:c>
      <x:c r="E122" s="10" t="str">
        <x:v>yes</x:v>
      </x:c>
      <x:c r="F122" s="10" t="str">
        <x:v>done</x:v>
      </x:c>
      <x:c r="G122" s="10" t="str">
        <x:v>All listed conditions apply unless an accepted ADR states otherwise.</x:v>
      </x:c>
      <x:c r="H122" s="10" t="str">
        <x:v>ELTS Build Plan P4.2</x:v>
      </x:c>
      <x:c r="I122" s="10" t="str"/>
    </x:row>
    <x:row r="123">
      <x:c r="A123" s="34" t="str">
        <x:v>DEP-0118</x:v>
      </x:c>
      <x:c r="B123" s="34" t="str">
        <x:v>P2.7</x:v>
      </x:c>
      <x:c r="C123" s="34" t="str">
        <x:v>P4.2</x:v>
      </x:c>
      <x:c r="D123" s="34" t="str">
        <x:v>requires</x:v>
      </x:c>
      <x:c r="E123" s="34" t="str">
        <x:v>yes</x:v>
      </x:c>
      <x:c r="F123" s="34" t="str">
        <x:v>done</x:v>
      </x:c>
      <x:c r="G123" s="34" t="str">
        <x:v>All listed conditions apply unless an accepted ADR states otherwise.</x:v>
      </x:c>
      <x:c r="H123" s="34" t="str">
        <x:v>ELTS Build Plan P4.2</x:v>
      </x:c>
      <x:c r="I123" s="34" t="str"/>
    </x:row>
    <x:row r="124">
      <x:c r="A124" s="10" t="str">
        <x:v>DEP-0119</x:v>
      </x:c>
      <x:c r="B124" s="10" t="str">
        <x:v>G3</x:v>
      </x:c>
      <x:c r="C124" s="10" t="str">
        <x:v>P4.3</x:v>
      </x:c>
      <x:c r="D124" s="10" t="str">
        <x:v>unlocks</x:v>
      </x:c>
      <x:c r="E124" s="10" t="str">
        <x:v>yes</x:v>
      </x:c>
      <x:c r="F124" s="10" t="str">
        <x:v>passed</x:v>
      </x:c>
      <x:c r="G124" s="10" t="str">
        <x:v>All listed conditions apply unless an accepted ADR states otherwise.</x:v>
      </x:c>
      <x:c r="H124" s="10" t="str">
        <x:v>ELTS Build Plan P4.3</x:v>
      </x:c>
      <x:c r="I124" s="10" t="str"/>
    </x:row>
    <x:row r="125">
      <x:c r="A125" s="34" t="str">
        <x:v>DEP-0120</x:v>
      </x:c>
      <x:c r="B125" s="34" t="str">
        <x:v>P4.1</x:v>
      </x:c>
      <x:c r="C125" s="34" t="str">
        <x:v>P4.3</x:v>
      </x:c>
      <x:c r="D125" s="34" t="str">
        <x:v>requires</x:v>
      </x:c>
      <x:c r="E125" s="34" t="str">
        <x:v>yes</x:v>
      </x:c>
      <x:c r="F125" s="34" t="str">
        <x:v>done</x:v>
      </x:c>
      <x:c r="G125" s="34" t="str">
        <x:v>All listed conditions apply unless an accepted ADR states otherwise.</x:v>
      </x:c>
      <x:c r="H125" s="34" t="str">
        <x:v>ELTS Build Plan P4.3</x:v>
      </x:c>
      <x:c r="I125" s="34" t="str"/>
    </x:row>
    <x:row r="126">
      <x:c r="A126" s="10" t="str">
        <x:v>DEP-0121</x:v>
      </x:c>
      <x:c r="B126" s="10" t="str">
        <x:v>D-04</x:v>
      </x:c>
      <x:c r="C126" s="10" t="str">
        <x:v>P4.3</x:v>
      </x:c>
      <x:c r="D126" s="10" t="str">
        <x:v>blocks</x:v>
      </x:c>
      <x:c r="E126" s="10" t="str">
        <x:v>yes</x:v>
      </x:c>
      <x:c r="F126" s="10" t="str">
        <x:v>decided</x:v>
      </x:c>
      <x:c r="G126" s="10" t="str">
        <x:v>All listed conditions apply unless an accepted ADR states otherwise.</x:v>
      </x:c>
      <x:c r="H126" s="10" t="str">
        <x:v>ELTS Build Plan P4.3</x:v>
      </x:c>
      <x:c r="I126" s="10" t="str"/>
    </x:row>
    <x:row r="127">
      <x:c r="A127" s="34" t="str">
        <x:v>DEP-0122</x:v>
      </x:c>
      <x:c r="B127" s="34" t="str">
        <x:v>G3</x:v>
      </x:c>
      <x:c r="C127" s="34" t="str">
        <x:v>P4.4</x:v>
      </x:c>
      <x:c r="D127" s="34" t="str">
        <x:v>unlocks</x:v>
      </x:c>
      <x:c r="E127" s="34" t="str">
        <x:v>yes</x:v>
      </x:c>
      <x:c r="F127" s="34" t="str">
        <x:v>passed</x:v>
      </x:c>
      <x:c r="G127" s="34" t="str">
        <x:v>All listed conditions apply unless an accepted ADR states otherwise.</x:v>
      </x:c>
      <x:c r="H127" s="34" t="str">
        <x:v>ELTS Build Plan P4.4</x:v>
      </x:c>
      <x:c r="I127" s="34" t="str"/>
    </x:row>
    <x:row r="128">
      <x:c r="A128" s="10" t="str">
        <x:v>DEP-0123</x:v>
      </x:c>
      <x:c r="B128" s="10" t="str">
        <x:v>P4.1</x:v>
      </x:c>
      <x:c r="C128" s="10" t="str">
        <x:v>P4.4</x:v>
      </x:c>
      <x:c r="D128" s="10" t="str">
        <x:v>requires</x:v>
      </x:c>
      <x:c r="E128" s="10" t="str">
        <x:v>yes</x:v>
      </x:c>
      <x:c r="F128" s="10" t="str">
        <x:v>done</x:v>
      </x:c>
      <x:c r="G128" s="10" t="str">
        <x:v>All listed conditions apply unless an accepted ADR states otherwise.</x:v>
      </x:c>
      <x:c r="H128" s="10" t="str">
        <x:v>ELTS Build Plan P4.4</x:v>
      </x:c>
      <x:c r="I128" s="10" t="str"/>
    </x:row>
    <x:row r="129">
      <x:c r="A129" s="34" t="str">
        <x:v>DEP-0124</x:v>
      </x:c>
      <x:c r="B129" s="34" t="str">
        <x:v>P2.4</x:v>
      </x:c>
      <x:c r="C129" s="34" t="str">
        <x:v>P4.4</x:v>
      </x:c>
      <x:c r="D129" s="34" t="str">
        <x:v>requires</x:v>
      </x:c>
      <x:c r="E129" s="34" t="str">
        <x:v>yes</x:v>
      </x:c>
      <x:c r="F129" s="34" t="str">
        <x:v>done</x:v>
      </x:c>
      <x:c r="G129" s="34" t="str">
        <x:v>All listed conditions apply unless an accepted ADR states otherwise.</x:v>
      </x:c>
      <x:c r="H129" s="34" t="str">
        <x:v>ELTS Build Plan P4.4</x:v>
      </x:c>
      <x:c r="I129" s="34" t="str"/>
    </x:row>
    <x:row r="130">
      <x:c r="A130" s="10" t="str">
        <x:v>DEP-0125</x:v>
      </x:c>
      <x:c r="B130" s="10" t="str">
        <x:v>G3</x:v>
      </x:c>
      <x:c r="C130" s="10" t="str">
        <x:v>P4.5</x:v>
      </x:c>
      <x:c r="D130" s="10" t="str">
        <x:v>unlocks</x:v>
      </x:c>
      <x:c r="E130" s="10" t="str">
        <x:v>yes</x:v>
      </x:c>
      <x:c r="F130" s="10" t="str">
        <x:v>passed</x:v>
      </x:c>
      <x:c r="G130" s="10" t="str">
        <x:v>All listed conditions apply unless an accepted ADR states otherwise.</x:v>
      </x:c>
      <x:c r="H130" s="10" t="str">
        <x:v>ELTS Build Plan P4.5</x:v>
      </x:c>
      <x:c r="I130" s="10" t="str"/>
    </x:row>
    <x:row r="131">
      <x:c r="A131" s="34" t="str">
        <x:v>DEP-0126</x:v>
      </x:c>
      <x:c r="B131" s="34" t="str">
        <x:v>P2.3</x:v>
      </x:c>
      <x:c r="C131" s="34" t="str">
        <x:v>P4.5</x:v>
      </x:c>
      <x:c r="D131" s="34" t="str">
        <x:v>requires</x:v>
      </x:c>
      <x:c r="E131" s="34" t="str">
        <x:v>yes</x:v>
      </x:c>
      <x:c r="F131" s="34" t="str">
        <x:v>done</x:v>
      </x:c>
      <x:c r="G131" s="34" t="str">
        <x:v>All listed conditions apply unless an accepted ADR states otherwise.</x:v>
      </x:c>
      <x:c r="H131" s="34" t="str">
        <x:v>ELTS Build Plan P4.5</x:v>
      </x:c>
      <x:c r="I131" s="34" t="str"/>
    </x:row>
    <x:row r="132">
      <x:c r="A132" s="10" t="str">
        <x:v>DEP-0127</x:v>
      </x:c>
      <x:c r="B132" s="10" t="str">
        <x:v>P2.4</x:v>
      </x:c>
      <x:c r="C132" s="10" t="str">
        <x:v>P4.5</x:v>
      </x:c>
      <x:c r="D132" s="10" t="str">
        <x:v>requires</x:v>
      </x:c>
      <x:c r="E132" s="10" t="str">
        <x:v>yes</x:v>
      </x:c>
      <x:c r="F132" s="10" t="str">
        <x:v>done</x:v>
      </x:c>
      <x:c r="G132" s="10" t="str">
        <x:v>All listed conditions apply unless an accepted ADR states otherwise.</x:v>
      </x:c>
      <x:c r="H132" s="10" t="str">
        <x:v>ELTS Build Plan P4.5</x:v>
      </x:c>
      <x:c r="I132" s="10" t="str"/>
    </x:row>
    <x:row r="133">
      <x:c r="A133" s="34" t="str">
        <x:v>DEP-0128</x:v>
      </x:c>
      <x:c r="B133" s="34" t="str">
        <x:v>P4.1</x:v>
      </x:c>
      <x:c r="C133" s="34" t="str">
        <x:v>P4.5</x:v>
      </x:c>
      <x:c r="D133" s="34" t="str">
        <x:v>requires</x:v>
      </x:c>
      <x:c r="E133" s="34" t="str">
        <x:v>yes</x:v>
      </x:c>
      <x:c r="F133" s="34" t="str">
        <x:v>done</x:v>
      </x:c>
      <x:c r="G133" s="34" t="str">
        <x:v>All listed conditions apply unless an accepted ADR states otherwise.</x:v>
      </x:c>
      <x:c r="H133" s="34" t="str">
        <x:v>ELTS Build Plan P4.5</x:v>
      </x:c>
      <x:c r="I133" s="34" t="str"/>
    </x:row>
    <x:row r="134">
      <x:c r="A134" s="10" t="str">
        <x:v>DEP-0129</x:v>
      </x:c>
      <x:c r="B134" s="10" t="str">
        <x:v>D-05</x:v>
      </x:c>
      <x:c r="C134" s="10" t="str">
        <x:v>P4.5</x:v>
      </x:c>
      <x:c r="D134" s="10" t="str">
        <x:v>blocks</x:v>
      </x:c>
      <x:c r="E134" s="10" t="str">
        <x:v>yes</x:v>
      </x:c>
      <x:c r="F134" s="10" t="str">
        <x:v>decided</x:v>
      </x:c>
      <x:c r="G134" s="10" t="str">
        <x:v>All listed conditions apply unless an accepted ADR states otherwise.</x:v>
      </x:c>
      <x:c r="H134" s="10" t="str">
        <x:v>ELTS Build Plan P4.5</x:v>
      </x:c>
      <x:c r="I134" s="10" t="str"/>
    </x:row>
    <x:row r="135">
      <x:c r="A135" s="34" t="str">
        <x:v>DEP-0130</x:v>
      </x:c>
      <x:c r="B135" s="34" t="str">
        <x:v>G3</x:v>
      </x:c>
      <x:c r="C135" s="34" t="str">
        <x:v>P4.6</x:v>
      </x:c>
      <x:c r="D135" s="34" t="str">
        <x:v>unlocks</x:v>
      </x:c>
      <x:c r="E135" s="34" t="str">
        <x:v>yes</x:v>
      </x:c>
      <x:c r="F135" s="34" t="str">
        <x:v>passed</x:v>
      </x:c>
      <x:c r="G135" s="34" t="str">
        <x:v>All listed conditions apply unless an accepted ADR states otherwise.</x:v>
      </x:c>
      <x:c r="H135" s="34" t="str">
        <x:v>ELTS Build Plan P4.6</x:v>
      </x:c>
      <x:c r="I135" s="34" t="str"/>
    </x:row>
    <x:row r="136">
      <x:c r="A136" s="10" t="str">
        <x:v>DEP-0131</x:v>
      </x:c>
      <x:c r="B136" s="10" t="str">
        <x:v>P2.6</x:v>
      </x:c>
      <x:c r="C136" s="10" t="str">
        <x:v>P4.6</x:v>
      </x:c>
      <x:c r="D136" s="10" t="str">
        <x:v>requires</x:v>
      </x:c>
      <x:c r="E136" s="10" t="str">
        <x:v>yes</x:v>
      </x:c>
      <x:c r="F136" s="10" t="str">
        <x:v>done</x:v>
      </x:c>
      <x:c r="G136" s="10" t="str">
        <x:v>All listed conditions apply unless an accepted ADR states otherwise.</x:v>
      </x:c>
      <x:c r="H136" s="10" t="str">
        <x:v>ELTS Build Plan P4.6</x:v>
      </x:c>
      <x:c r="I136" s="10" t="str"/>
    </x:row>
    <x:row r="137">
      <x:c r="A137" s="34" t="str">
        <x:v>DEP-0132</x:v>
      </x:c>
      <x:c r="B137" s="34" t="str">
        <x:v>P4.5</x:v>
      </x:c>
      <x:c r="C137" s="34" t="str">
        <x:v>P4.6</x:v>
      </x:c>
      <x:c r="D137" s="34" t="str">
        <x:v>requires</x:v>
      </x:c>
      <x:c r="E137" s="34" t="str">
        <x:v>yes</x:v>
      </x:c>
      <x:c r="F137" s="34" t="str">
        <x:v>done</x:v>
      </x:c>
      <x:c r="G137" s="34" t="str">
        <x:v>All listed conditions apply unless an accepted ADR states otherwise.</x:v>
      </x:c>
      <x:c r="H137" s="34" t="str">
        <x:v>ELTS Build Plan P4.6</x:v>
      </x:c>
      <x:c r="I137" s="34" t="str"/>
    </x:row>
    <x:row r="138">
      <x:c r="A138" s="10" t="str">
        <x:v>DEP-0133</x:v>
      </x:c>
      <x:c r="B138" s="10" t="str">
        <x:v>G3</x:v>
      </x:c>
      <x:c r="C138" s="10" t="str">
        <x:v>P4.7</x:v>
      </x:c>
      <x:c r="D138" s="10" t="str">
        <x:v>unlocks</x:v>
      </x:c>
      <x:c r="E138" s="10" t="str">
        <x:v>yes</x:v>
      </x:c>
      <x:c r="F138" s="10" t="str">
        <x:v>passed</x:v>
      </x:c>
      <x:c r="G138" s="10" t="str">
        <x:v>All listed conditions apply unless an accepted ADR states otherwise.</x:v>
      </x:c>
      <x:c r="H138" s="10" t="str">
        <x:v>ELTS Build Plan P4.7</x:v>
      </x:c>
      <x:c r="I138" s="10" t="str"/>
    </x:row>
    <x:row r="139">
      <x:c r="A139" s="34" t="str">
        <x:v>DEP-0134</x:v>
      </x:c>
      <x:c r="B139" s="34" t="str">
        <x:v>P4.1</x:v>
      </x:c>
      <x:c r="C139" s="34" t="str">
        <x:v>P4.7</x:v>
      </x:c>
      <x:c r="D139" s="34" t="str">
        <x:v>requires</x:v>
      </x:c>
      <x:c r="E139" s="34" t="str">
        <x:v>yes</x:v>
      </x:c>
      <x:c r="F139" s="34" t="str">
        <x:v>done</x:v>
      </x:c>
      <x:c r="G139" s="34" t="str">
        <x:v>All listed conditions apply unless an accepted ADR states otherwise.</x:v>
      </x:c>
      <x:c r="H139" s="34" t="str">
        <x:v>ELTS Build Plan P4.7</x:v>
      </x:c>
      <x:c r="I139" s="34" t="str"/>
    </x:row>
    <x:row r="140">
      <x:c r="A140" s="10" t="str">
        <x:v>DEP-0135</x:v>
      </x:c>
      <x:c r="B140" s="10" t="str">
        <x:v>D-06</x:v>
      </x:c>
      <x:c r="C140" s="10" t="str">
        <x:v>P4.7</x:v>
      </x:c>
      <x:c r="D140" s="10" t="str">
        <x:v>blocks</x:v>
      </x:c>
      <x:c r="E140" s="10" t="str">
        <x:v>yes</x:v>
      </x:c>
      <x:c r="F140" s="10" t="str">
        <x:v>decided</x:v>
      </x:c>
      <x:c r="G140" s="10" t="str">
        <x:v>All listed conditions apply unless an accepted ADR states otherwise.</x:v>
      </x:c>
      <x:c r="H140" s="10" t="str">
        <x:v>ELTS Build Plan P4.7</x:v>
      </x:c>
      <x:c r="I140" s="10" t="str"/>
    </x:row>
    <x:row r="141">
      <x:c r="A141" s="34" t="str">
        <x:v>DEP-0136</x:v>
      </x:c>
      <x:c r="B141" s="34" t="str">
        <x:v>G3</x:v>
      </x:c>
      <x:c r="C141" s="34" t="str">
        <x:v>P4.8</x:v>
      </x:c>
      <x:c r="D141" s="34" t="str">
        <x:v>unlocks</x:v>
      </x:c>
      <x:c r="E141" s="34" t="str">
        <x:v>yes</x:v>
      </x:c>
      <x:c r="F141" s="34" t="str">
        <x:v>passed</x:v>
      </x:c>
      <x:c r="G141" s="34" t="str">
        <x:v>All listed conditions apply unless an accepted ADR states otherwise.</x:v>
      </x:c>
      <x:c r="H141" s="34" t="str">
        <x:v>ELTS Build Plan P4.8</x:v>
      </x:c>
      <x:c r="I141" s="34" t="str"/>
    </x:row>
    <x:row r="142">
      <x:c r="A142" s="10" t="str">
        <x:v>DEP-0137</x:v>
      </x:c>
      <x:c r="B142" s="10" t="str">
        <x:v>D-07</x:v>
      </x:c>
      <x:c r="C142" s="10" t="str">
        <x:v>P4.8</x:v>
      </x:c>
      <x:c r="D142" s="10" t="str">
        <x:v>blocks</x:v>
      </x:c>
      <x:c r="E142" s="10" t="str">
        <x:v>yes</x:v>
      </x:c>
      <x:c r="F142" s="10" t="str">
        <x:v>decided</x:v>
      </x:c>
      <x:c r="G142" s="10" t="str">
        <x:v>All listed conditions apply unless an accepted ADR states otherwise.</x:v>
      </x:c>
      <x:c r="H142" s="10" t="str">
        <x:v>ELTS Build Plan P4.8</x:v>
      </x:c>
      <x:c r="I142" s="10" t="str"/>
    </x:row>
    <x:row r="143">
      <x:c r="A143" s="34" t="str">
        <x:v>DEP-0138</x:v>
      </x:c>
      <x:c r="B143" s="34" t="str">
        <x:v>G3</x:v>
      </x:c>
      <x:c r="C143" s="34" t="str">
        <x:v>P4.9</x:v>
      </x:c>
      <x:c r="D143" s="34" t="str">
        <x:v>unlocks</x:v>
      </x:c>
      <x:c r="E143" s="34" t="str">
        <x:v>yes</x:v>
      </x:c>
      <x:c r="F143" s="34" t="str">
        <x:v>passed</x:v>
      </x:c>
      <x:c r="G143" s="34" t="str">
        <x:v>All listed conditions apply unless an accepted ADR states otherwise.</x:v>
      </x:c>
      <x:c r="H143" s="34" t="str">
        <x:v>ELTS Build Plan P4.9</x:v>
      </x:c>
      <x:c r="I143" s="34" t="str"/>
    </x:row>
    <x:row r="144">
      <x:c r="A144" s="10" t="str">
        <x:v>DEP-0139</x:v>
      </x:c>
      <x:c r="B144" s="10" t="str">
        <x:v>P4.8</x:v>
      </x:c>
      <x:c r="C144" s="10" t="str">
        <x:v>P4.9</x:v>
      </x:c>
      <x:c r="D144" s="10" t="str">
        <x:v>requires</x:v>
      </x:c>
      <x:c r="E144" s="10" t="str">
        <x:v>yes</x:v>
      </x:c>
      <x:c r="F144" s="10" t="str">
        <x:v>done</x:v>
      </x:c>
      <x:c r="G144" s="10" t="str">
        <x:v>All listed conditions apply unless an accepted ADR states otherwise.</x:v>
      </x:c>
      <x:c r="H144" s="10" t="str">
        <x:v>ELTS Build Plan P4.9</x:v>
      </x:c>
      <x:c r="I144" s="10" t="str"/>
    </x:row>
    <x:row r="145">
      <x:c r="A145" s="34" t="str">
        <x:v>DEP-0140</x:v>
      </x:c>
      <x:c r="B145" s="34" t="str">
        <x:v>D-08</x:v>
      </x:c>
      <x:c r="C145" s="34" t="str">
        <x:v>P4.9</x:v>
      </x:c>
      <x:c r="D145" s="34" t="str">
        <x:v>blocks</x:v>
      </x:c>
      <x:c r="E145" s="34" t="str">
        <x:v>yes</x:v>
      </x:c>
      <x:c r="F145" s="34" t="str">
        <x:v>decided</x:v>
      </x:c>
      <x:c r="G145" s="34" t="str">
        <x:v>All listed conditions apply unless an accepted ADR states otherwise.</x:v>
      </x:c>
      <x:c r="H145" s="34" t="str">
        <x:v>ELTS Build Plan P4.9</x:v>
      </x:c>
      <x:c r="I145" s="34" t="str"/>
    </x:row>
    <x:row r="146">
      <x:c r="A146" s="10" t="str">
        <x:v>DEP-0141</x:v>
      </x:c>
      <x:c r="B146" s="10" t="str">
        <x:v>G3</x:v>
      </x:c>
      <x:c r="C146" s="10" t="str">
        <x:v>P4.10</x:v>
      </x:c>
      <x:c r="D146" s="10" t="str">
        <x:v>unlocks</x:v>
      </x:c>
      <x:c r="E146" s="10" t="str">
        <x:v>yes</x:v>
      </x:c>
      <x:c r="F146" s="10" t="str">
        <x:v>passed</x:v>
      </x:c>
      <x:c r="G146" s="10" t="str">
        <x:v>All listed conditions apply unless an accepted ADR states otherwise.</x:v>
      </x:c>
      <x:c r="H146" s="10" t="str">
        <x:v>ELTS Build Plan P4.10</x:v>
      </x:c>
      <x:c r="I146" s="10" t="str"/>
    </x:row>
    <x:row r="147">
      <x:c r="A147" s="34" t="str">
        <x:v>DEP-0142</x:v>
      </x:c>
      <x:c r="B147" s="34" t="str">
        <x:v>P4.8</x:v>
      </x:c>
      <x:c r="C147" s="34" t="str">
        <x:v>P4.10</x:v>
      </x:c>
      <x:c r="D147" s="34" t="str">
        <x:v>requires</x:v>
      </x:c>
      <x:c r="E147" s="34" t="str">
        <x:v>yes</x:v>
      </x:c>
      <x:c r="F147" s="34" t="str">
        <x:v>done</x:v>
      </x:c>
      <x:c r="G147" s="34" t="str">
        <x:v>All listed conditions apply unless an accepted ADR states otherwise.</x:v>
      </x:c>
      <x:c r="H147" s="34" t="str">
        <x:v>ELTS Build Plan P4.10</x:v>
      </x:c>
      <x:c r="I147" s="34" t="str"/>
    </x:row>
    <x:row r="148">
      <x:c r="A148" s="10" t="str">
        <x:v>DEP-0143</x:v>
      </x:c>
      <x:c r="B148" s="10" t="str">
        <x:v>P4.9</x:v>
      </x:c>
      <x:c r="C148" s="10" t="str">
        <x:v>P4.10</x:v>
      </x:c>
      <x:c r="D148" s="10" t="str">
        <x:v>requires</x:v>
      </x:c>
      <x:c r="E148" s="10" t="str">
        <x:v>yes</x:v>
      </x:c>
      <x:c r="F148" s="10" t="str">
        <x:v>done</x:v>
      </x:c>
      <x:c r="G148" s="10" t="str">
        <x:v>All listed conditions apply unless an accepted ADR states otherwise.</x:v>
      </x:c>
      <x:c r="H148" s="10" t="str">
        <x:v>ELTS Build Plan P4.10</x:v>
      </x:c>
      <x:c r="I148" s="10" t="str"/>
    </x:row>
    <x:row r="149">
      <x:c r="A149" s="34" t="str">
        <x:v>DEP-0144</x:v>
      </x:c>
      <x:c r="B149" s="34" t="str">
        <x:v>G3</x:v>
      </x:c>
      <x:c r="C149" s="34" t="str">
        <x:v>P4.11</x:v>
      </x:c>
      <x:c r="D149" s="34" t="str">
        <x:v>unlocks</x:v>
      </x:c>
      <x:c r="E149" s="34" t="str">
        <x:v>yes</x:v>
      </x:c>
      <x:c r="F149" s="34" t="str">
        <x:v>passed</x:v>
      </x:c>
      <x:c r="G149" s="34" t="str">
        <x:v>All listed conditions apply unless an accepted ADR states otherwise.</x:v>
      </x:c>
      <x:c r="H149" s="34" t="str">
        <x:v>ELTS Build Plan P4.11</x:v>
      </x:c>
      <x:c r="I149" s="34" t="str"/>
    </x:row>
    <x:row r="150">
      <x:c r="A150" s="10" t="str">
        <x:v>DEP-0145</x:v>
      </x:c>
      <x:c r="B150" s="10" t="str">
        <x:v>P4.10</x:v>
      </x:c>
      <x:c r="C150" s="10" t="str">
        <x:v>P4.11</x:v>
      </x:c>
      <x:c r="D150" s="10" t="str">
        <x:v>requires</x:v>
      </x:c>
      <x:c r="E150" s="10" t="str">
        <x:v>yes</x:v>
      </x:c>
      <x:c r="F150" s="10" t="str">
        <x:v>done</x:v>
      </x:c>
      <x:c r="G150" s="10" t="str">
        <x:v>All listed conditions apply unless an accepted ADR states otherwise.</x:v>
      </x:c>
      <x:c r="H150" s="10" t="str">
        <x:v>ELTS Build Plan P4.11</x:v>
      </x:c>
      <x:c r="I150" s="10" t="str"/>
    </x:row>
    <x:row r="151">
      <x:c r="A151" s="34" t="str">
        <x:v>DEP-0146</x:v>
      </x:c>
      <x:c r="B151" s="34" t="str">
        <x:v>D-12</x:v>
      </x:c>
      <x:c r="C151" s="34" t="str">
        <x:v>P4.11</x:v>
      </x:c>
      <x:c r="D151" s="34" t="str">
        <x:v>blocks</x:v>
      </x:c>
      <x:c r="E151" s="34" t="str">
        <x:v>yes</x:v>
      </x:c>
      <x:c r="F151" s="34" t="str">
        <x:v>decided</x:v>
      </x:c>
      <x:c r="G151" s="34" t="str">
        <x:v>All listed conditions apply unless an accepted ADR states otherwise.</x:v>
      </x:c>
      <x:c r="H151" s="34" t="str">
        <x:v>ELTS Build Plan P4.11</x:v>
      </x:c>
      <x:c r="I151" s="34" t="str"/>
    </x:row>
    <x:row r="152">
      <x:c r="A152" s="10" t="str">
        <x:v>DEP-0147</x:v>
      </x:c>
      <x:c r="B152" s="10" t="str">
        <x:v>G3</x:v>
      </x:c>
      <x:c r="C152" s="10" t="str">
        <x:v>P4.12</x:v>
      </x:c>
      <x:c r="D152" s="10" t="str">
        <x:v>unlocks</x:v>
      </x:c>
      <x:c r="E152" s="10" t="str">
        <x:v>yes</x:v>
      </x:c>
      <x:c r="F152" s="10" t="str">
        <x:v>passed</x:v>
      </x:c>
      <x:c r="G152" s="10" t="str">
        <x:v>All listed conditions apply unless an accepted ADR states otherwise.</x:v>
      </x:c>
      <x:c r="H152" s="10" t="str">
        <x:v>ELTS Build Plan P4.12</x:v>
      </x:c>
      <x:c r="I152" s="10" t="str"/>
    </x:row>
    <x:row r="153">
      <x:c r="A153" s="34" t="str">
        <x:v>DEP-0148</x:v>
      </x:c>
      <x:c r="B153" s="34" t="str">
        <x:v>P2.1</x:v>
      </x:c>
      <x:c r="C153" s="34" t="str">
        <x:v>P4.12</x:v>
      </x:c>
      <x:c r="D153" s="34" t="str">
        <x:v>requires</x:v>
      </x:c>
      <x:c r="E153" s="34" t="str">
        <x:v>yes</x:v>
      </x:c>
      <x:c r="F153" s="34" t="str">
        <x:v>done</x:v>
      </x:c>
      <x:c r="G153" s="34" t="str">
        <x:v>All listed conditions apply unless an accepted ADR states otherwise.</x:v>
      </x:c>
      <x:c r="H153" s="34" t="str">
        <x:v>ELTS Build Plan P4.12</x:v>
      </x:c>
      <x:c r="I153" s="34" t="str"/>
    </x:row>
    <x:row r="154">
      <x:c r="A154" s="10" t="str">
        <x:v>DEP-0149</x:v>
      </x:c>
      <x:c r="B154" s="10" t="str">
        <x:v>P2.3</x:v>
      </x:c>
      <x:c r="C154" s="10" t="str">
        <x:v>P4.12</x:v>
      </x:c>
      <x:c r="D154" s="10" t="str">
        <x:v>requires</x:v>
      </x:c>
      <x:c r="E154" s="10" t="str">
        <x:v>yes</x:v>
      </x:c>
      <x:c r="F154" s="10" t="str">
        <x:v>done</x:v>
      </x:c>
      <x:c r="G154" s="10" t="str">
        <x:v>All listed conditions apply unless an accepted ADR states otherwise.</x:v>
      </x:c>
      <x:c r="H154" s="10" t="str">
        <x:v>ELTS Build Plan P4.12</x:v>
      </x:c>
      <x:c r="I154" s="10" t="str"/>
    </x:row>
    <x:row r="155">
      <x:c r="A155" s="34" t="str">
        <x:v>DEP-0150</x:v>
      </x:c>
      <x:c r="B155" s="34" t="str">
        <x:v>P2.5</x:v>
      </x:c>
      <x:c r="C155" s="34" t="str">
        <x:v>P4.12</x:v>
      </x:c>
      <x:c r="D155" s="34" t="str">
        <x:v>requires</x:v>
      </x:c>
      <x:c r="E155" s="34" t="str">
        <x:v>yes</x:v>
      </x:c>
      <x:c r="F155" s="34" t="str">
        <x:v>done</x:v>
      </x:c>
      <x:c r="G155" s="34" t="str">
        <x:v>All listed conditions apply unless an accepted ADR states otherwise.</x:v>
      </x:c>
      <x:c r="H155" s="34" t="str">
        <x:v>ELTS Build Plan P4.12</x:v>
      </x:c>
      <x:c r="I155" s="34" t="str"/>
    </x:row>
    <x:row r="156">
      <x:c r="A156" s="10" t="str">
        <x:v>DEP-0151</x:v>
      </x:c>
      <x:c r="B156" s="10" t="str">
        <x:v>P3.5</x:v>
      </x:c>
      <x:c r="C156" s="10" t="str">
        <x:v>P4.12</x:v>
      </x:c>
      <x:c r="D156" s="10" t="str">
        <x:v>requires</x:v>
      </x:c>
      <x:c r="E156" s="10" t="str">
        <x:v>yes</x:v>
      </x:c>
      <x:c r="F156" s="10" t="str">
        <x:v>done</x:v>
      </x:c>
      <x:c r="G156" s="10" t="str">
        <x:v>All listed conditions apply unless an accepted ADR states otherwise.</x:v>
      </x:c>
      <x:c r="H156" s="10" t="str">
        <x:v>ELTS Build Plan P4.12</x:v>
      </x:c>
      <x:c r="I156" s="10" t="str"/>
    </x:row>
    <x:row r="157">
      <x:c r="A157" s="34" t="str">
        <x:v>DEP-0152</x:v>
      </x:c>
      <x:c r="B157" s="34" t="str">
        <x:v>G3</x:v>
      </x:c>
      <x:c r="C157" s="34" t="str">
        <x:v>P4.13</x:v>
      </x:c>
      <x:c r="D157" s="34" t="str">
        <x:v>unlocks</x:v>
      </x:c>
      <x:c r="E157" s="34" t="str">
        <x:v>yes</x:v>
      </x:c>
      <x:c r="F157" s="34" t="str">
        <x:v>passed</x:v>
      </x:c>
      <x:c r="G157" s="34" t="str">
        <x:v>All listed conditions apply unless an accepted ADR states otherwise.</x:v>
      </x:c>
      <x:c r="H157" s="34" t="str">
        <x:v>ELTS Build Plan P4.13</x:v>
      </x:c>
      <x:c r="I157" s="34" t="str"/>
    </x:row>
    <x:row r="158">
      <x:c r="A158" s="10" t="str">
        <x:v>DEP-0153</x:v>
      </x:c>
      <x:c r="B158" s="10" t="str">
        <x:v>P4.1</x:v>
      </x:c>
      <x:c r="C158" s="10" t="str">
        <x:v>P4.13</x:v>
      </x:c>
      <x:c r="D158" s="10" t="str">
        <x:v>requires</x:v>
      </x:c>
      <x:c r="E158" s="10" t="str">
        <x:v>yes</x:v>
      </x:c>
      <x:c r="F158" s="10" t="str">
        <x:v>done</x:v>
      </x:c>
      <x:c r="G158" s="10" t="str">
        <x:v>All listed conditions apply unless an accepted ADR states otherwise.</x:v>
      </x:c>
      <x:c r="H158" s="10" t="str">
        <x:v>ELTS Build Plan P4.13</x:v>
      </x:c>
      <x:c r="I158" s="10" t="str"/>
    </x:row>
    <x:row r="159">
      <x:c r="A159" s="34" t="str">
        <x:v>DEP-0154</x:v>
      </x:c>
      <x:c r="B159" s="34" t="str">
        <x:v>P4.2</x:v>
      </x:c>
      <x:c r="C159" s="34" t="str">
        <x:v>P4.13</x:v>
      </x:c>
      <x:c r="D159" s="34" t="str">
        <x:v>requires</x:v>
      </x:c>
      <x:c r="E159" s="34" t="str">
        <x:v>yes</x:v>
      </x:c>
      <x:c r="F159" s="34" t="str">
        <x:v>done</x:v>
      </x:c>
      <x:c r="G159" s="34" t="str">
        <x:v>All listed conditions apply unless an accepted ADR states otherwise.</x:v>
      </x:c>
      <x:c r="H159" s="34" t="str">
        <x:v>ELTS Build Plan P4.13</x:v>
      </x:c>
      <x:c r="I159" s="34" t="str"/>
    </x:row>
    <x:row r="160">
      <x:c r="A160" s="10" t="str">
        <x:v>DEP-0155</x:v>
      </x:c>
      <x:c r="B160" s="10" t="str">
        <x:v>P4.3</x:v>
      </x:c>
      <x:c r="C160" s="10" t="str">
        <x:v>P4.13</x:v>
      </x:c>
      <x:c r="D160" s="10" t="str">
        <x:v>requires</x:v>
      </x:c>
      <x:c r="E160" s="10" t="str">
        <x:v>yes</x:v>
      </x:c>
      <x:c r="F160" s="10" t="str">
        <x:v>done</x:v>
      </x:c>
      <x:c r="G160" s="10" t="str">
        <x:v>All listed conditions apply unless an accepted ADR states otherwise.</x:v>
      </x:c>
      <x:c r="H160" s="10" t="str">
        <x:v>ELTS Build Plan P4.13</x:v>
      </x:c>
      <x:c r="I160" s="10" t="str"/>
    </x:row>
    <x:row r="161">
      <x:c r="A161" s="34" t="str">
        <x:v>DEP-0156</x:v>
      </x:c>
      <x:c r="B161" s="34" t="str">
        <x:v>P4.4</x:v>
      </x:c>
      <x:c r="C161" s="34" t="str">
        <x:v>P4.13</x:v>
      </x:c>
      <x:c r="D161" s="34" t="str">
        <x:v>requires</x:v>
      </x:c>
      <x:c r="E161" s="34" t="str">
        <x:v>yes</x:v>
      </x:c>
      <x:c r="F161" s="34" t="str">
        <x:v>done</x:v>
      </x:c>
      <x:c r="G161" s="34" t="str">
        <x:v>All listed conditions apply unless an accepted ADR states otherwise.</x:v>
      </x:c>
      <x:c r="H161" s="34" t="str">
        <x:v>ELTS Build Plan P4.13</x:v>
      </x:c>
      <x:c r="I161" s="34" t="str"/>
    </x:row>
    <x:row r="162">
      <x:c r="A162" s="10" t="str">
        <x:v>DEP-0157</x:v>
      </x:c>
      <x:c r="B162" s="10" t="str">
        <x:v>P4.5</x:v>
      </x:c>
      <x:c r="C162" s="10" t="str">
        <x:v>P4.13</x:v>
      </x:c>
      <x:c r="D162" s="10" t="str">
        <x:v>requires</x:v>
      </x:c>
      <x:c r="E162" s="10" t="str">
        <x:v>yes</x:v>
      </x:c>
      <x:c r="F162" s="10" t="str">
        <x:v>done</x:v>
      </x:c>
      <x:c r="G162" s="10" t="str">
        <x:v>All listed conditions apply unless an accepted ADR states otherwise.</x:v>
      </x:c>
      <x:c r="H162" s="10" t="str">
        <x:v>ELTS Build Plan P4.13</x:v>
      </x:c>
      <x:c r="I162" s="10" t="str"/>
    </x:row>
    <x:row r="163">
      <x:c r="A163" s="34" t="str">
        <x:v>DEP-0158</x:v>
      </x:c>
      <x:c r="B163" s="34" t="str">
        <x:v>P4.6</x:v>
      </x:c>
      <x:c r="C163" s="34" t="str">
        <x:v>P4.13</x:v>
      </x:c>
      <x:c r="D163" s="34" t="str">
        <x:v>requires</x:v>
      </x:c>
      <x:c r="E163" s="34" t="str">
        <x:v>yes</x:v>
      </x:c>
      <x:c r="F163" s="34" t="str">
        <x:v>done</x:v>
      </x:c>
      <x:c r="G163" s="34" t="str">
        <x:v>All listed conditions apply unless an accepted ADR states otherwise.</x:v>
      </x:c>
      <x:c r="H163" s="34" t="str">
        <x:v>ELTS Build Plan P4.13</x:v>
      </x:c>
      <x:c r="I163" s="34" t="str"/>
    </x:row>
    <x:row r="164">
      <x:c r="A164" s="10" t="str">
        <x:v>DEP-0159</x:v>
      </x:c>
      <x:c r="B164" s="10" t="str">
        <x:v>P4.7</x:v>
      </x:c>
      <x:c r="C164" s="10" t="str">
        <x:v>P4.13</x:v>
      </x:c>
      <x:c r="D164" s="10" t="str">
        <x:v>requires</x:v>
      </x:c>
      <x:c r="E164" s="10" t="str">
        <x:v>yes</x:v>
      </x:c>
      <x:c r="F164" s="10" t="str">
        <x:v>done</x:v>
      </x:c>
      <x:c r="G164" s="10" t="str">
        <x:v>All listed conditions apply unless an accepted ADR states otherwise.</x:v>
      </x:c>
      <x:c r="H164" s="10" t="str">
        <x:v>ELTS Build Plan P4.13</x:v>
      </x:c>
      <x:c r="I164" s="10" t="str"/>
    </x:row>
    <x:row r="165">
      <x:c r="A165" s="34" t="str">
        <x:v>DEP-0160</x:v>
      </x:c>
      <x:c r="B165" s="34" t="str">
        <x:v>P4.8</x:v>
      </x:c>
      <x:c r="C165" s="34" t="str">
        <x:v>P4.13</x:v>
      </x:c>
      <x:c r="D165" s="34" t="str">
        <x:v>requires</x:v>
      </x:c>
      <x:c r="E165" s="34" t="str">
        <x:v>yes</x:v>
      </x:c>
      <x:c r="F165" s="34" t="str">
        <x:v>done</x:v>
      </x:c>
      <x:c r="G165" s="34" t="str">
        <x:v>All listed conditions apply unless an accepted ADR states otherwise.</x:v>
      </x:c>
      <x:c r="H165" s="34" t="str">
        <x:v>ELTS Build Plan P4.13</x:v>
      </x:c>
      <x:c r="I165" s="34" t="str"/>
    </x:row>
    <x:row r="166">
      <x:c r="A166" s="10" t="str">
        <x:v>DEP-0161</x:v>
      </x:c>
      <x:c r="B166" s="10" t="str">
        <x:v>P4.9</x:v>
      </x:c>
      <x:c r="C166" s="10" t="str">
        <x:v>P4.13</x:v>
      </x:c>
      <x:c r="D166" s="10" t="str">
        <x:v>requires</x:v>
      </x:c>
      <x:c r="E166" s="10" t="str">
        <x:v>yes</x:v>
      </x:c>
      <x:c r="F166" s="10" t="str">
        <x:v>done</x:v>
      </x:c>
      <x:c r="G166" s="10" t="str">
        <x:v>All listed conditions apply unless an accepted ADR states otherwise.</x:v>
      </x:c>
      <x:c r="H166" s="10" t="str">
        <x:v>ELTS Build Plan P4.13</x:v>
      </x:c>
      <x:c r="I166" s="10" t="str"/>
    </x:row>
    <x:row r="167">
      <x:c r="A167" s="34" t="str">
        <x:v>DEP-0162</x:v>
      </x:c>
      <x:c r="B167" s="34" t="str">
        <x:v>P4.10</x:v>
      </x:c>
      <x:c r="C167" s="34" t="str">
        <x:v>P4.13</x:v>
      </x:c>
      <x:c r="D167" s="34" t="str">
        <x:v>requires</x:v>
      </x:c>
      <x:c r="E167" s="34" t="str">
        <x:v>yes</x:v>
      </x:c>
      <x:c r="F167" s="34" t="str">
        <x:v>done</x:v>
      </x:c>
      <x:c r="G167" s="34" t="str">
        <x:v>All listed conditions apply unless an accepted ADR states otherwise.</x:v>
      </x:c>
      <x:c r="H167" s="34" t="str">
        <x:v>ELTS Build Plan P4.13</x:v>
      </x:c>
      <x:c r="I167" s="34" t="str"/>
    </x:row>
    <x:row r="168">
      <x:c r="A168" s="10" t="str">
        <x:v>DEP-0163</x:v>
      </x:c>
      <x:c r="B168" s="10" t="str">
        <x:v>P4.11</x:v>
      </x:c>
      <x:c r="C168" s="10" t="str">
        <x:v>P4.13</x:v>
      </x:c>
      <x:c r="D168" s="10" t="str">
        <x:v>requires</x:v>
      </x:c>
      <x:c r="E168" s="10" t="str">
        <x:v>yes</x:v>
      </x:c>
      <x:c r="F168" s="10" t="str">
        <x:v>done</x:v>
      </x:c>
      <x:c r="G168" s="10" t="str">
        <x:v>All listed conditions apply unless an accepted ADR states otherwise.</x:v>
      </x:c>
      <x:c r="H168" s="10" t="str">
        <x:v>ELTS Build Plan P4.13</x:v>
      </x:c>
      <x:c r="I168" s="10" t="str"/>
    </x:row>
    <x:row r="169">
      <x:c r="A169" s="34" t="str">
        <x:v>DEP-0164</x:v>
      </x:c>
      <x:c r="B169" s="34" t="str">
        <x:v>P4.12</x:v>
      </x:c>
      <x:c r="C169" s="34" t="str">
        <x:v>P4.13</x:v>
      </x:c>
      <x:c r="D169" s="34" t="str">
        <x:v>requires</x:v>
      </x:c>
      <x:c r="E169" s="34" t="str">
        <x:v>yes</x:v>
      </x:c>
      <x:c r="F169" s="34" t="str">
        <x:v>done</x:v>
      </x:c>
      <x:c r="G169" s="34" t="str">
        <x:v>All listed conditions apply unless an accepted ADR states otherwise.</x:v>
      </x:c>
      <x:c r="H169" s="34" t="str">
        <x:v>ELTS Build Plan P4.13</x:v>
      </x:c>
      <x:c r="I169" s="34" t="str"/>
    </x:row>
    <x:row r="170">
      <x:c r="A170" s="10" t="str">
        <x:v>DEP-0165</x:v>
      </x:c>
      <x:c r="B170" s="10" t="str">
        <x:v>G4</x:v>
      </x:c>
      <x:c r="C170" s="10" t="str">
        <x:v>P5.1</x:v>
      </x:c>
      <x:c r="D170" s="10" t="str">
        <x:v>unlocks</x:v>
      </x:c>
      <x:c r="E170" s="10" t="str">
        <x:v>yes</x:v>
      </x:c>
      <x:c r="F170" s="10" t="str">
        <x:v>passed</x:v>
      </x:c>
      <x:c r="G170" s="10" t="str">
        <x:v>All listed conditions apply unless an accepted ADR states otherwise.</x:v>
      </x:c>
      <x:c r="H170" s="10" t="str">
        <x:v>ELTS Build Plan P5.1</x:v>
      </x:c>
      <x:c r="I170" s="10" t="str"/>
    </x:row>
    <x:row r="171">
      <x:c r="A171" s="34" t="str">
        <x:v>DEP-0166</x:v>
      </x:c>
      <x:c r="B171" s="34" t="str">
        <x:v>P1.13</x:v>
      </x:c>
      <x:c r="C171" s="34" t="str">
        <x:v>P5.1</x:v>
      </x:c>
      <x:c r="D171" s="34" t="str">
        <x:v>requires</x:v>
      </x:c>
      <x:c r="E171" s="34" t="str">
        <x:v>yes</x:v>
      </x:c>
      <x:c r="F171" s="34" t="str">
        <x:v>done</x:v>
      </x:c>
      <x:c r="G171" s="34" t="str">
        <x:v>All listed conditions apply unless an accepted ADR states otherwise.</x:v>
      </x:c>
      <x:c r="H171" s="34" t="str">
        <x:v>ELTS Build Plan P5.1</x:v>
      </x:c>
      <x:c r="I171" s="34" t="str"/>
    </x:row>
    <x:row r="172">
      <x:c r="A172" s="10" t="str">
        <x:v>DEP-0167</x:v>
      </x:c>
      <x:c r="B172" s="10" t="str">
        <x:v>P1.11</x:v>
      </x:c>
      <x:c r="C172" s="10" t="str">
        <x:v>P5.1</x:v>
      </x:c>
      <x:c r="D172" s="10" t="str">
        <x:v>requires</x:v>
      </x:c>
      <x:c r="E172" s="10" t="str">
        <x:v>yes</x:v>
      </x:c>
      <x:c r="F172" s="10" t="str">
        <x:v>done</x:v>
      </x:c>
      <x:c r="G172" s="10" t="str">
        <x:v>All listed conditions apply unless an accepted ADR states otherwise.</x:v>
      </x:c>
      <x:c r="H172" s="10" t="str">
        <x:v>ELTS Build Plan P5.1</x:v>
      </x:c>
      <x:c r="I172" s="10" t="str"/>
    </x:row>
    <x:row r="173">
      <x:c r="A173" s="34" t="str">
        <x:v>DEP-0168</x:v>
      </x:c>
      <x:c r="B173" s="34" t="str">
        <x:v>P1.12</x:v>
      </x:c>
      <x:c r="C173" s="34" t="str">
        <x:v>P5.1</x:v>
      </x:c>
      <x:c r="D173" s="34" t="str">
        <x:v>requires</x:v>
      </x:c>
      <x:c r="E173" s="34" t="str">
        <x:v>yes</x:v>
      </x:c>
      <x:c r="F173" s="34" t="str">
        <x:v>done</x:v>
      </x:c>
      <x:c r="G173" s="34" t="str">
        <x:v>All listed conditions apply unless an accepted ADR states otherwise.</x:v>
      </x:c>
      <x:c r="H173" s="34" t="str">
        <x:v>ELTS Build Plan P5.1</x:v>
      </x:c>
      <x:c r="I173" s="34" t="str"/>
    </x:row>
    <x:row r="174">
      <x:c r="A174" s="10" t="str">
        <x:v>DEP-0169</x:v>
      </x:c>
      <x:c r="B174" s="10" t="str">
        <x:v>G4</x:v>
      </x:c>
      <x:c r="C174" s="10" t="str">
        <x:v>P5.2</x:v>
      </x:c>
      <x:c r="D174" s="10" t="str">
        <x:v>unlocks</x:v>
      </x:c>
      <x:c r="E174" s="10" t="str">
        <x:v>yes</x:v>
      </x:c>
      <x:c r="F174" s="10" t="str">
        <x:v>passed</x:v>
      </x:c>
      <x:c r="G174" s="10" t="str">
        <x:v>All listed conditions apply unless an accepted ADR states otherwise.</x:v>
      </x:c>
      <x:c r="H174" s="10" t="str">
        <x:v>ELTS Build Plan P5.2</x:v>
      </x:c>
      <x:c r="I174" s="10" t="str"/>
    </x:row>
    <x:row r="175">
      <x:c r="A175" s="34" t="str">
        <x:v>DEP-0170</x:v>
      </x:c>
      <x:c r="B175" s="34" t="str">
        <x:v>P1.13</x:v>
      </x:c>
      <x:c r="C175" s="34" t="str">
        <x:v>P5.2</x:v>
      </x:c>
      <x:c r="D175" s="34" t="str">
        <x:v>requires</x:v>
      </x:c>
      <x:c r="E175" s="34" t="str">
        <x:v>yes</x:v>
      </x:c>
      <x:c r="F175" s="34" t="str">
        <x:v>done</x:v>
      </x:c>
      <x:c r="G175" s="34" t="str">
        <x:v>All listed conditions apply unless an accepted ADR states otherwise.</x:v>
      </x:c>
      <x:c r="H175" s="34" t="str">
        <x:v>ELTS Build Plan P5.2</x:v>
      </x:c>
      <x:c r="I175" s="34" t="str"/>
    </x:row>
    <x:row r="176">
      <x:c r="A176" s="10" t="str">
        <x:v>DEP-0171</x:v>
      </x:c>
      <x:c r="B176" s="10" t="str">
        <x:v>G4</x:v>
      </x:c>
      <x:c r="C176" s="10" t="str">
        <x:v>P5.3</x:v>
      </x:c>
      <x:c r="D176" s="10" t="str">
        <x:v>unlocks</x:v>
      </x:c>
      <x:c r="E176" s="10" t="str">
        <x:v>yes</x:v>
      </x:c>
      <x:c r="F176" s="10" t="str">
        <x:v>passed</x:v>
      </x:c>
      <x:c r="G176" s="10" t="str">
        <x:v>All listed conditions apply unless an accepted ADR states otherwise.</x:v>
      </x:c>
      <x:c r="H176" s="10" t="str">
        <x:v>ELTS Build Plan P5.3</x:v>
      </x:c>
      <x:c r="I176" s="10" t="str"/>
    </x:row>
    <x:row r="177">
      <x:c r="A177" s="34" t="str">
        <x:v>DEP-0172</x:v>
      </x:c>
      <x:c r="B177" s="34" t="str">
        <x:v>P1.13</x:v>
      </x:c>
      <x:c r="C177" s="34" t="str">
        <x:v>P5.3</x:v>
      </x:c>
      <x:c r="D177" s="34" t="str">
        <x:v>requires</x:v>
      </x:c>
      <x:c r="E177" s="34" t="str">
        <x:v>yes</x:v>
      </x:c>
      <x:c r="F177" s="34" t="str">
        <x:v>done</x:v>
      </x:c>
      <x:c r="G177" s="34" t="str">
        <x:v>All listed conditions apply unless an accepted ADR states otherwise.</x:v>
      </x:c>
      <x:c r="H177" s="34" t="str">
        <x:v>ELTS Build Plan P5.3</x:v>
      </x:c>
      <x:c r="I177" s="34" t="str"/>
    </x:row>
    <x:row r="178">
      <x:c r="A178" s="10" t="str">
        <x:v>DEP-0173</x:v>
      </x:c>
      <x:c r="B178" s="10" t="str">
        <x:v>P5.2</x:v>
      </x:c>
      <x:c r="C178" s="10" t="str">
        <x:v>P5.3</x:v>
      </x:c>
      <x:c r="D178" s="10" t="str">
        <x:v>requires</x:v>
      </x:c>
      <x:c r="E178" s="10" t="str">
        <x:v>yes</x:v>
      </x:c>
      <x:c r="F178" s="10" t="str">
        <x:v>done</x:v>
      </x:c>
      <x:c r="G178" s="10" t="str">
        <x:v>All listed conditions apply unless an accepted ADR states otherwise.</x:v>
      </x:c>
      <x:c r="H178" s="10" t="str">
        <x:v>ELTS Build Plan P5.3</x:v>
      </x:c>
      <x:c r="I178" s="10" t="str"/>
    </x:row>
    <x:row r="179">
      <x:c r="A179" s="34" t="str">
        <x:v>DEP-0174</x:v>
      </x:c>
      <x:c r="B179" s="34" t="str">
        <x:v>D-17</x:v>
      </x:c>
      <x:c r="C179" s="34" t="str">
        <x:v>P5.3</x:v>
      </x:c>
      <x:c r="D179" s="34" t="str">
        <x:v>blocks</x:v>
      </x:c>
      <x:c r="E179" s="34" t="str">
        <x:v>yes</x:v>
      </x:c>
      <x:c r="F179" s="34" t="str">
        <x:v>decided</x:v>
      </x:c>
      <x:c r="G179" s="34" t="str">
        <x:v>All listed conditions apply unless an accepted ADR states otherwise.</x:v>
      </x:c>
      <x:c r="H179" s="34" t="str">
        <x:v>ELTS Build Plan P5.3</x:v>
      </x:c>
      <x:c r="I179" s="34" t="str"/>
    </x:row>
    <x:row r="180">
      <x:c r="A180" s="10" t="str">
        <x:v>DEP-0175</x:v>
      </x:c>
      <x:c r="B180" s="10" t="str">
        <x:v>G4</x:v>
      </x:c>
      <x:c r="C180" s="10" t="str">
        <x:v>P5.4</x:v>
      </x:c>
      <x:c r="D180" s="10" t="str">
        <x:v>unlocks</x:v>
      </x:c>
      <x:c r="E180" s="10" t="str">
        <x:v>yes</x:v>
      </x:c>
      <x:c r="F180" s="10" t="str">
        <x:v>passed</x:v>
      </x:c>
      <x:c r="G180" s="10" t="str">
        <x:v>All listed conditions apply unless an accepted ADR states otherwise.</x:v>
      </x:c>
      <x:c r="H180" s="10" t="str">
        <x:v>ELTS Build Plan P5.4</x:v>
      </x:c>
      <x:c r="I180" s="10" t="str"/>
    </x:row>
    <x:row r="181">
      <x:c r="A181" s="34" t="str">
        <x:v>DEP-0176</x:v>
      </x:c>
      <x:c r="B181" s="34" t="str">
        <x:v>P1.13</x:v>
      </x:c>
      <x:c r="C181" s="34" t="str">
        <x:v>P5.4</x:v>
      </x:c>
      <x:c r="D181" s="34" t="str">
        <x:v>requires</x:v>
      </x:c>
      <x:c r="E181" s="34" t="str">
        <x:v>yes</x:v>
      </x:c>
      <x:c r="F181" s="34" t="str">
        <x:v>done</x:v>
      </x:c>
      <x:c r="G181" s="34" t="str">
        <x:v>All listed conditions apply unless an accepted ADR states otherwise.</x:v>
      </x:c>
      <x:c r="H181" s="34" t="str">
        <x:v>ELTS Build Plan P5.4</x:v>
      </x:c>
      <x:c r="I181" s="34" t="str"/>
    </x:row>
    <x:row r="182">
      <x:c r="A182" s="10" t="str">
        <x:v>DEP-0177</x:v>
      </x:c>
      <x:c r="B182" s="10" t="str">
        <x:v>P5.2</x:v>
      </x:c>
      <x:c r="C182" s="10" t="str">
        <x:v>P5.4</x:v>
      </x:c>
      <x:c r="D182" s="10" t="str">
        <x:v>requires</x:v>
      </x:c>
      <x:c r="E182" s="10" t="str">
        <x:v>yes</x:v>
      </x:c>
      <x:c r="F182" s="10" t="str">
        <x:v>done</x:v>
      </x:c>
      <x:c r="G182" s="10" t="str">
        <x:v>All listed conditions apply unless an accepted ADR states otherwise.</x:v>
      </x:c>
      <x:c r="H182" s="10" t="str">
        <x:v>ELTS Build Plan P5.4</x:v>
      </x:c>
      <x:c r="I182" s="10" t="str"/>
    </x:row>
    <x:row r="183">
      <x:c r="A183" s="34" t="str">
        <x:v>DEP-0178</x:v>
      </x:c>
      <x:c r="B183" s="34" t="str">
        <x:v>P5.3</x:v>
      </x:c>
      <x:c r="C183" s="34" t="str">
        <x:v>P5.4</x:v>
      </x:c>
      <x:c r="D183" s="34" t="str">
        <x:v>requires</x:v>
      </x:c>
      <x:c r="E183" s="34" t="str">
        <x:v>yes</x:v>
      </x:c>
      <x:c r="F183" s="34" t="str">
        <x:v>done</x:v>
      </x:c>
      <x:c r="G183" s="34" t="str">
        <x:v>All listed conditions apply unless an accepted ADR states otherwise.</x:v>
      </x:c>
      <x:c r="H183" s="34" t="str">
        <x:v>ELTS Build Plan P5.4</x:v>
      </x:c>
      <x:c r="I183" s="34" t="str"/>
    </x:row>
    <x:row r="184">
      <x:c r="A184" s="10" t="str">
        <x:v>DEP-0179</x:v>
      </x:c>
      <x:c r="B184" s="10" t="str">
        <x:v>G4</x:v>
      </x:c>
      <x:c r="C184" s="10" t="str">
        <x:v>P5.5</x:v>
      </x:c>
      <x:c r="D184" s="10" t="str">
        <x:v>unlocks</x:v>
      </x:c>
      <x:c r="E184" s="10" t="str">
        <x:v>yes</x:v>
      </x:c>
      <x:c r="F184" s="10" t="str">
        <x:v>passed</x:v>
      </x:c>
      <x:c r="G184" s="10" t="str">
        <x:v>All listed conditions apply unless an accepted ADR states otherwise.</x:v>
      </x:c>
      <x:c r="H184" s="10" t="str">
        <x:v>ELTS Build Plan P5.5</x:v>
      </x:c>
      <x:c r="I184" s="10" t="str"/>
    </x:row>
    <x:row r="185">
      <x:c r="A185" s="34" t="str">
        <x:v>DEP-0180</x:v>
      </x:c>
      <x:c r="B185" s="34" t="str">
        <x:v>P1.13</x:v>
      </x:c>
      <x:c r="C185" s="34" t="str">
        <x:v>P5.5</x:v>
      </x:c>
      <x:c r="D185" s="34" t="str">
        <x:v>requires</x:v>
      </x:c>
      <x:c r="E185" s="34" t="str">
        <x:v>yes</x:v>
      </x:c>
      <x:c r="F185" s="34" t="str">
        <x:v>done</x:v>
      </x:c>
      <x:c r="G185" s="34" t="str">
        <x:v>All listed conditions apply unless an accepted ADR states otherwise.</x:v>
      </x:c>
      <x:c r="H185" s="34" t="str">
        <x:v>ELTS Build Plan P5.5</x:v>
      </x:c>
      <x:c r="I185" s="34" t="str"/>
    </x:row>
    <x:row r="186">
      <x:c r="A186" s="10" t="str">
        <x:v>DEP-0181</x:v>
      </x:c>
      <x:c r="B186" s="10" t="str">
        <x:v>P5.2</x:v>
      </x:c>
      <x:c r="C186" s="10" t="str">
        <x:v>P5.5</x:v>
      </x:c>
      <x:c r="D186" s="10" t="str">
        <x:v>requires</x:v>
      </x:c>
      <x:c r="E186" s="10" t="str">
        <x:v>yes</x:v>
      </x:c>
      <x:c r="F186" s="10" t="str">
        <x:v>done</x:v>
      </x:c>
      <x:c r="G186" s="10" t="str">
        <x:v>All listed conditions apply unless an accepted ADR states otherwise.</x:v>
      </x:c>
      <x:c r="H186" s="10" t="str">
        <x:v>ELTS Build Plan P5.5</x:v>
      </x:c>
      <x:c r="I186" s="10" t="str"/>
    </x:row>
    <x:row r="187">
      <x:c r="A187" s="34" t="str">
        <x:v>DEP-0182</x:v>
      </x:c>
      <x:c r="B187" s="34" t="str">
        <x:v>G4</x:v>
      </x:c>
      <x:c r="C187" s="34" t="str">
        <x:v>P5.6</x:v>
      </x:c>
      <x:c r="D187" s="34" t="str">
        <x:v>unlocks</x:v>
      </x:c>
      <x:c r="E187" s="34" t="str">
        <x:v>yes</x:v>
      </x:c>
      <x:c r="F187" s="34" t="str">
        <x:v>passed</x:v>
      </x:c>
      <x:c r="G187" s="34" t="str">
        <x:v>All listed conditions apply unless an accepted ADR states otherwise.</x:v>
      </x:c>
      <x:c r="H187" s="34" t="str">
        <x:v>ELTS Build Plan P5.6</x:v>
      </x:c>
      <x:c r="I187" s="34" t="str"/>
    </x:row>
    <x:row r="188">
      <x:c r="A188" s="10" t="str">
        <x:v>DEP-0183</x:v>
      </x:c>
      <x:c r="B188" s="10" t="str">
        <x:v>P1.13</x:v>
      </x:c>
      <x:c r="C188" s="10" t="str">
        <x:v>P5.6</x:v>
      </x:c>
      <x:c r="D188" s="10" t="str">
        <x:v>requires</x:v>
      </x:c>
      <x:c r="E188" s="10" t="str">
        <x:v>yes</x:v>
      </x:c>
      <x:c r="F188" s="10" t="str">
        <x:v>done</x:v>
      </x:c>
      <x:c r="G188" s="10" t="str">
        <x:v>All listed conditions apply unless an accepted ADR states otherwise.</x:v>
      </x:c>
      <x:c r="H188" s="10" t="str">
        <x:v>ELTS Build Plan P5.6</x:v>
      </x:c>
      <x:c r="I188" s="10" t="str"/>
    </x:row>
    <x:row r="189">
      <x:c r="A189" s="34" t="str">
        <x:v>DEP-0184</x:v>
      </x:c>
      <x:c r="B189" s="34" t="str">
        <x:v>P5.2</x:v>
      </x:c>
      <x:c r="C189" s="34" t="str">
        <x:v>P5.6</x:v>
      </x:c>
      <x:c r="D189" s="34" t="str">
        <x:v>requires</x:v>
      </x:c>
      <x:c r="E189" s="34" t="str">
        <x:v>yes</x:v>
      </x:c>
      <x:c r="F189" s="34" t="str">
        <x:v>done</x:v>
      </x:c>
      <x:c r="G189" s="34" t="str">
        <x:v>All listed conditions apply unless an accepted ADR states otherwise.</x:v>
      </x:c>
      <x:c r="H189" s="34" t="str">
        <x:v>ELTS Build Plan P5.6</x:v>
      </x:c>
      <x:c r="I189" s="34" t="str"/>
    </x:row>
    <x:row r="190">
      <x:c r="A190" s="10" t="str">
        <x:v>DEP-0185</x:v>
      </x:c>
      <x:c r="B190" s="10" t="str">
        <x:v>P5.5</x:v>
      </x:c>
      <x:c r="C190" s="10" t="str">
        <x:v>P5.6</x:v>
      </x:c>
      <x:c r="D190" s="10" t="str">
        <x:v>requires</x:v>
      </x:c>
      <x:c r="E190" s="10" t="str">
        <x:v>yes</x:v>
      </x:c>
      <x:c r="F190" s="10" t="str">
        <x:v>done</x:v>
      </x:c>
      <x:c r="G190" s="10" t="str">
        <x:v>All listed conditions apply unless an accepted ADR states otherwise.</x:v>
      </x:c>
      <x:c r="H190" s="10" t="str">
        <x:v>ELTS Build Plan P5.6</x:v>
      </x:c>
      <x:c r="I190" s="10" t="str"/>
    </x:row>
    <x:row r="191">
      <x:c r="A191" s="34" t="str">
        <x:v>DEP-0186</x:v>
      </x:c>
      <x:c r="B191" s="34" t="str">
        <x:v>D-17</x:v>
      </x:c>
      <x:c r="C191" s="34" t="str">
        <x:v>P5.6</x:v>
      </x:c>
      <x:c r="D191" s="34" t="str">
        <x:v>blocks</x:v>
      </x:c>
      <x:c r="E191" s="34" t="str">
        <x:v>yes</x:v>
      </x:c>
      <x:c r="F191" s="34" t="str">
        <x:v>decided</x:v>
      </x:c>
      <x:c r="G191" s="34" t="str">
        <x:v>All listed conditions apply unless an accepted ADR states otherwise.</x:v>
      </x:c>
      <x:c r="H191" s="34" t="str">
        <x:v>ELTS Build Plan P5.6</x:v>
      </x:c>
      <x:c r="I191" s="34" t="str"/>
    </x:row>
    <x:row r="192">
      <x:c r="A192" s="10" t="str">
        <x:v>DEP-0187</x:v>
      </x:c>
      <x:c r="B192" s="10" t="str">
        <x:v>G4</x:v>
      </x:c>
      <x:c r="C192" s="10" t="str">
        <x:v>P5.7</x:v>
      </x:c>
      <x:c r="D192" s="10" t="str">
        <x:v>unlocks</x:v>
      </x:c>
      <x:c r="E192" s="10" t="str">
        <x:v>yes</x:v>
      </x:c>
      <x:c r="F192" s="10" t="str">
        <x:v>passed</x:v>
      </x:c>
      <x:c r="G192" s="10" t="str">
        <x:v>All listed conditions apply unless an accepted ADR states otherwise.</x:v>
      </x:c>
      <x:c r="H192" s="10" t="str">
        <x:v>ELTS Build Plan P5.7</x:v>
      </x:c>
      <x:c r="I192" s="10" t="str"/>
    </x:row>
    <x:row r="193">
      <x:c r="A193" s="34" t="str">
        <x:v>DEP-0188</x:v>
      </x:c>
      <x:c r="B193" s="34" t="str">
        <x:v>P1.13</x:v>
      </x:c>
      <x:c r="C193" s="34" t="str">
        <x:v>P5.7</x:v>
      </x:c>
      <x:c r="D193" s="34" t="str">
        <x:v>requires</x:v>
      </x:c>
      <x:c r="E193" s="34" t="str">
        <x:v>yes</x:v>
      </x:c>
      <x:c r="F193" s="34" t="str">
        <x:v>done</x:v>
      </x:c>
      <x:c r="G193" s="34" t="str">
        <x:v>All listed conditions apply unless an accepted ADR states otherwise.</x:v>
      </x:c>
      <x:c r="H193" s="34" t="str">
        <x:v>ELTS Build Plan P5.7</x:v>
      </x:c>
      <x:c r="I193" s="34" t="str"/>
    </x:row>
    <x:row r="194">
      <x:c r="A194" s="10" t="str">
        <x:v>DEP-0189</x:v>
      </x:c>
      <x:c r="B194" s="10" t="str">
        <x:v>P5.1</x:v>
      </x:c>
      <x:c r="C194" s="10" t="str">
        <x:v>P5.7</x:v>
      </x:c>
      <x:c r="D194" s="10" t="str">
        <x:v>requires</x:v>
      </x:c>
      <x:c r="E194" s="10" t="str">
        <x:v>yes</x:v>
      </x:c>
      <x:c r="F194" s="10" t="str">
        <x:v>done</x:v>
      </x:c>
      <x:c r="G194" s="10" t="str">
        <x:v>All listed conditions apply unless an accepted ADR states otherwise.</x:v>
      </x:c>
      <x:c r="H194" s="10" t="str">
        <x:v>ELTS Build Plan P5.7</x:v>
      </x:c>
      <x:c r="I194" s="10" t="str"/>
    </x:row>
    <x:row r="195">
      <x:c r="A195" s="34" t="str">
        <x:v>DEP-0190</x:v>
      </x:c>
      <x:c r="B195" s="34" t="str">
        <x:v>P5.2</x:v>
      </x:c>
      <x:c r="C195" s="34" t="str">
        <x:v>P5.7</x:v>
      </x:c>
      <x:c r="D195" s="34" t="str">
        <x:v>requires</x:v>
      </x:c>
      <x:c r="E195" s="34" t="str">
        <x:v>yes</x:v>
      </x:c>
      <x:c r="F195" s="34" t="str">
        <x:v>done</x:v>
      </x:c>
      <x:c r="G195" s="34" t="str">
        <x:v>All listed conditions apply unless an accepted ADR states otherwise.</x:v>
      </x:c>
      <x:c r="H195" s="34" t="str">
        <x:v>ELTS Build Plan P5.7</x:v>
      </x:c>
      <x:c r="I195" s="34" t="str"/>
    </x:row>
    <x:row r="196">
      <x:c r="A196" s="10" t="str">
        <x:v>DEP-0191</x:v>
      </x:c>
      <x:c r="B196" s="10" t="str">
        <x:v>P5.4</x:v>
      </x:c>
      <x:c r="C196" s="10" t="str">
        <x:v>P5.7</x:v>
      </x:c>
      <x:c r="D196" s="10" t="str">
        <x:v>requires</x:v>
      </x:c>
      <x:c r="E196" s="10" t="str">
        <x:v>yes</x:v>
      </x:c>
      <x:c r="F196" s="10" t="str">
        <x:v>done</x:v>
      </x:c>
      <x:c r="G196" s="10" t="str">
        <x:v>All listed conditions apply unless an accepted ADR states otherwise.</x:v>
      </x:c>
      <x:c r="H196" s="10" t="str">
        <x:v>ELTS Build Plan P5.7</x:v>
      </x:c>
      <x:c r="I196" s="10" t="str"/>
    </x:row>
    <x:row r="197">
      <x:c r="A197" s="34" t="str">
        <x:v>DEP-0192</x:v>
      </x:c>
      <x:c r="B197" s="34" t="str">
        <x:v>G4</x:v>
      </x:c>
      <x:c r="C197" s="34" t="str">
        <x:v>P5.8</x:v>
      </x:c>
      <x:c r="D197" s="34" t="str">
        <x:v>unlocks</x:v>
      </x:c>
      <x:c r="E197" s="34" t="str">
        <x:v>yes</x:v>
      </x:c>
      <x:c r="F197" s="34" t="str">
        <x:v>passed</x:v>
      </x:c>
      <x:c r="G197" s="34" t="str">
        <x:v>All listed conditions apply unless an accepted ADR states otherwise.</x:v>
      </x:c>
      <x:c r="H197" s="34" t="str">
        <x:v>ELTS Build Plan P5.8</x:v>
      </x:c>
      <x:c r="I197" s="34" t="str"/>
    </x:row>
    <x:row r="198">
      <x:c r="A198" s="10" t="str">
        <x:v>DEP-0193</x:v>
      </x:c>
      <x:c r="B198" s="10" t="str">
        <x:v>P1.13</x:v>
      </x:c>
      <x:c r="C198" s="10" t="str">
        <x:v>P5.8</x:v>
      </x:c>
      <x:c r="D198" s="10" t="str">
        <x:v>requires</x:v>
      </x:c>
      <x:c r="E198" s="10" t="str">
        <x:v>yes</x:v>
      </x:c>
      <x:c r="F198" s="10" t="str">
        <x:v>done</x:v>
      </x:c>
      <x:c r="G198" s="10" t="str">
        <x:v>All listed conditions apply unless an accepted ADR states otherwise.</x:v>
      </x:c>
      <x:c r="H198" s="10" t="str">
        <x:v>ELTS Build Plan P5.8</x:v>
      </x:c>
      <x:c r="I198" s="10" t="str"/>
    </x:row>
    <x:row r="199">
      <x:c r="A199" s="34" t="str">
        <x:v>DEP-0194</x:v>
      </x:c>
      <x:c r="B199" s="34" t="str">
        <x:v>P5.4</x:v>
      </x:c>
      <x:c r="C199" s="34" t="str">
        <x:v>P5.8</x:v>
      </x:c>
      <x:c r="D199" s="34" t="str">
        <x:v>requires</x:v>
      </x:c>
      <x:c r="E199" s="34" t="str">
        <x:v>yes</x:v>
      </x:c>
      <x:c r="F199" s="34" t="str">
        <x:v>done</x:v>
      </x:c>
      <x:c r="G199" s="34" t="str">
        <x:v>All listed conditions apply unless an accepted ADR states otherwise.</x:v>
      </x:c>
      <x:c r="H199" s="34" t="str">
        <x:v>ELTS Build Plan P5.8</x:v>
      </x:c>
      <x:c r="I199" s="34" t="str"/>
    </x:row>
    <x:row r="200">
      <x:c r="A200" s="10" t="str">
        <x:v>DEP-0195</x:v>
      </x:c>
      <x:c r="B200" s="10" t="str">
        <x:v>P5.7</x:v>
      </x:c>
      <x:c r="C200" s="10" t="str">
        <x:v>P5.8</x:v>
      </x:c>
      <x:c r="D200" s="10" t="str">
        <x:v>requires</x:v>
      </x:c>
      <x:c r="E200" s="10" t="str">
        <x:v>yes</x:v>
      </x:c>
      <x:c r="F200" s="10" t="str">
        <x:v>done</x:v>
      </x:c>
      <x:c r="G200" s="10" t="str">
        <x:v>All listed conditions apply unless an accepted ADR states otherwise.</x:v>
      </x:c>
      <x:c r="H200" s="10" t="str">
        <x:v>ELTS Build Plan P5.8</x:v>
      </x:c>
      <x:c r="I200" s="10" t="str"/>
    </x:row>
    <x:row r="201">
      <x:c r="A201" s="34" t="str">
        <x:v>DEP-0196</x:v>
      </x:c>
      <x:c r="B201" s="34" t="str">
        <x:v>D-17</x:v>
      </x:c>
      <x:c r="C201" s="34" t="str">
        <x:v>P5.8</x:v>
      </x:c>
      <x:c r="D201" s="34" t="str">
        <x:v>blocks</x:v>
      </x:c>
      <x:c r="E201" s="34" t="str">
        <x:v>yes</x:v>
      </x:c>
      <x:c r="F201" s="34" t="str">
        <x:v>decided</x:v>
      </x:c>
      <x:c r="G201" s="34" t="str">
        <x:v>All listed conditions apply unless an accepted ADR states otherwise.</x:v>
      </x:c>
      <x:c r="H201" s="34" t="str">
        <x:v>ELTS Build Plan P5.8</x:v>
      </x:c>
      <x:c r="I201" s="34" t="str"/>
    </x:row>
    <x:row r="202">
      <x:c r="A202" s="10" t="str">
        <x:v>DEP-0197</x:v>
      </x:c>
      <x:c r="B202" s="10" t="str">
        <x:v>G4</x:v>
      </x:c>
      <x:c r="C202" s="10" t="str">
        <x:v>P5.9</x:v>
      </x:c>
      <x:c r="D202" s="10" t="str">
        <x:v>unlocks</x:v>
      </x:c>
      <x:c r="E202" s="10" t="str">
        <x:v>yes</x:v>
      </x:c>
      <x:c r="F202" s="10" t="str">
        <x:v>passed</x:v>
      </x:c>
      <x:c r="G202" s="10" t="str">
        <x:v>All listed conditions apply unless an accepted ADR states otherwise.</x:v>
      </x:c>
      <x:c r="H202" s="10" t="str">
        <x:v>ELTS Build Plan P5.9</x:v>
      </x:c>
      <x:c r="I202" s="10" t="str"/>
    </x:row>
    <x:row r="203">
      <x:c r="A203" s="34" t="str">
        <x:v>DEP-0198</x:v>
      </x:c>
      <x:c r="B203" s="34" t="str">
        <x:v>P1.13</x:v>
      </x:c>
      <x:c r="C203" s="34" t="str">
        <x:v>P5.9</x:v>
      </x:c>
      <x:c r="D203" s="34" t="str">
        <x:v>requires</x:v>
      </x:c>
      <x:c r="E203" s="34" t="str">
        <x:v>yes</x:v>
      </x:c>
      <x:c r="F203" s="34" t="str">
        <x:v>done</x:v>
      </x:c>
      <x:c r="G203" s="34" t="str">
        <x:v>All listed conditions apply unless an accepted ADR states otherwise.</x:v>
      </x:c>
      <x:c r="H203" s="34" t="str">
        <x:v>ELTS Build Plan P5.9</x:v>
      </x:c>
      <x:c r="I203" s="34" t="str"/>
    </x:row>
    <x:row r="204">
      <x:c r="A204" s="10" t="str">
        <x:v>DEP-0199</x:v>
      </x:c>
      <x:c r="B204" s="10" t="str">
        <x:v>P5.1</x:v>
      </x:c>
      <x:c r="C204" s="10" t="str">
        <x:v>P5.9</x:v>
      </x:c>
      <x:c r="D204" s="10" t="str">
        <x:v>requires</x:v>
      </x:c>
      <x:c r="E204" s="10" t="str">
        <x:v>yes</x:v>
      </x:c>
      <x:c r="F204" s="10" t="str">
        <x:v>done</x:v>
      </x:c>
      <x:c r="G204" s="10" t="str">
        <x:v>All listed conditions apply unless an accepted ADR states otherwise.</x:v>
      </x:c>
      <x:c r="H204" s="10" t="str">
        <x:v>ELTS Build Plan P5.9</x:v>
      </x:c>
      <x:c r="I204" s="10" t="str"/>
    </x:row>
    <x:row r="205">
      <x:c r="A205" s="34" t="str">
        <x:v>DEP-0200</x:v>
      </x:c>
      <x:c r="B205" s="34" t="str">
        <x:v>P5.4</x:v>
      </x:c>
      <x:c r="C205" s="34" t="str">
        <x:v>P5.9</x:v>
      </x:c>
      <x:c r="D205" s="34" t="str">
        <x:v>requires</x:v>
      </x:c>
      <x:c r="E205" s="34" t="str">
        <x:v>yes</x:v>
      </x:c>
      <x:c r="F205" s="34" t="str">
        <x:v>done</x:v>
      </x:c>
      <x:c r="G205" s="34" t="str">
        <x:v>All listed conditions apply unless an accepted ADR states otherwise.</x:v>
      </x:c>
      <x:c r="H205" s="34" t="str">
        <x:v>ELTS Build Plan P5.9</x:v>
      </x:c>
      <x:c r="I205" s="34" t="str"/>
    </x:row>
    <x:row r="206">
      <x:c r="A206" s="10" t="str">
        <x:v>DEP-0201</x:v>
      </x:c>
      <x:c r="B206" s="10" t="str">
        <x:v>G4</x:v>
      </x:c>
      <x:c r="C206" s="10" t="str">
        <x:v>P5.10</x:v>
      </x:c>
      <x:c r="D206" s="10" t="str">
        <x:v>unlocks</x:v>
      </x:c>
      <x:c r="E206" s="10" t="str">
        <x:v>yes</x:v>
      </x:c>
      <x:c r="F206" s="10" t="str">
        <x:v>passed</x:v>
      </x:c>
      <x:c r="G206" s="10" t="str">
        <x:v>All listed conditions apply unless an accepted ADR states otherwise.</x:v>
      </x:c>
      <x:c r="H206" s="10" t="str">
        <x:v>ELTS Build Plan P5.10</x:v>
      </x:c>
      <x:c r="I206" s="10" t="str"/>
    </x:row>
    <x:row r="207">
      <x:c r="A207" s="34" t="str">
        <x:v>DEP-0202</x:v>
      </x:c>
      <x:c r="B207" s="34" t="str">
        <x:v>P1.13</x:v>
      </x:c>
      <x:c r="C207" s="34" t="str">
        <x:v>P5.10</x:v>
      </x:c>
      <x:c r="D207" s="34" t="str">
        <x:v>requires</x:v>
      </x:c>
      <x:c r="E207" s="34" t="str">
        <x:v>yes</x:v>
      </x:c>
      <x:c r="F207" s="34" t="str">
        <x:v>done</x:v>
      </x:c>
      <x:c r="G207" s="34" t="str">
        <x:v>All listed conditions apply unless an accepted ADR states otherwise.</x:v>
      </x:c>
      <x:c r="H207" s="34" t="str">
        <x:v>ELTS Build Plan P5.10</x:v>
      </x:c>
      <x:c r="I207" s="34" t="str"/>
    </x:row>
    <x:row r="208">
      <x:c r="A208" s="10" t="str">
        <x:v>DEP-0203</x:v>
      </x:c>
      <x:c r="B208" s="10" t="str">
        <x:v>P4.10</x:v>
      </x:c>
      <x:c r="C208" s="10" t="str">
        <x:v>P5.10</x:v>
      </x:c>
      <x:c r="D208" s="10" t="str">
        <x:v>requires</x:v>
      </x:c>
      <x:c r="E208" s="10" t="str">
        <x:v>yes</x:v>
      </x:c>
      <x:c r="F208" s="10" t="str">
        <x:v>done</x:v>
      </x:c>
      <x:c r="G208" s="10" t="str">
        <x:v>All listed conditions apply unless an accepted ADR states otherwise.</x:v>
      </x:c>
      <x:c r="H208" s="10" t="str">
        <x:v>ELTS Build Plan P5.10</x:v>
      </x:c>
      <x:c r="I208" s="10" t="str"/>
    </x:row>
    <x:row r="209">
      <x:c r="A209" s="34" t="str">
        <x:v>DEP-0204</x:v>
      </x:c>
      <x:c r="B209" s="34" t="str">
        <x:v>P5.5</x:v>
      </x:c>
      <x:c r="C209" s="34" t="str">
        <x:v>P5.10</x:v>
      </x:c>
      <x:c r="D209" s="34" t="str">
        <x:v>requires</x:v>
      </x:c>
      <x:c r="E209" s="34" t="str">
        <x:v>yes</x:v>
      </x:c>
      <x:c r="F209" s="34" t="str">
        <x:v>done</x:v>
      </x:c>
      <x:c r="G209" s="34" t="str">
        <x:v>All listed conditions apply unless an accepted ADR states otherwise.</x:v>
      </x:c>
      <x:c r="H209" s="34" t="str">
        <x:v>ELTS Build Plan P5.10</x:v>
      </x:c>
      <x:c r="I209" s="34" t="str"/>
    </x:row>
    <x:row r="210">
      <x:c r="A210" s="10" t="str">
        <x:v>DEP-0205</x:v>
      </x:c>
      <x:c r="B210" s="10" t="str">
        <x:v>P5.6</x:v>
      </x:c>
      <x:c r="C210" s="10" t="str">
        <x:v>P5.10</x:v>
      </x:c>
      <x:c r="D210" s="10" t="str">
        <x:v>requires</x:v>
      </x:c>
      <x:c r="E210" s="10" t="str">
        <x:v>yes</x:v>
      </x:c>
      <x:c r="F210" s="10" t="str">
        <x:v>done</x:v>
      </x:c>
      <x:c r="G210" s="10" t="str">
        <x:v>All listed conditions apply unless an accepted ADR states otherwise.</x:v>
      </x:c>
      <x:c r="H210" s="10" t="str">
        <x:v>ELTS Build Plan P5.10</x:v>
      </x:c>
      <x:c r="I210" s="10" t="str"/>
    </x:row>
    <x:row r="211">
      <x:c r="A211" s="34" t="str">
        <x:v>DEP-0206</x:v>
      </x:c>
      <x:c r="B211" s="34" t="str">
        <x:v>P5.7</x:v>
      </x:c>
      <x:c r="C211" s="34" t="str">
        <x:v>P5.10</x:v>
      </x:c>
      <x:c r="D211" s="34" t="str">
        <x:v>requires</x:v>
      </x:c>
      <x:c r="E211" s="34" t="str">
        <x:v>yes</x:v>
      </x:c>
      <x:c r="F211" s="34" t="str">
        <x:v>done</x:v>
      </x:c>
      <x:c r="G211" s="34" t="str">
        <x:v>All listed conditions apply unless an accepted ADR states otherwise.</x:v>
      </x:c>
      <x:c r="H211" s="34" t="str">
        <x:v>ELTS Build Plan P5.10</x:v>
      </x:c>
      <x:c r="I211" s="34" t="str"/>
    </x:row>
    <x:row r="212">
      <x:c r="A212" s="10" t="str">
        <x:v>DEP-0207</x:v>
      </x:c>
      <x:c r="B212" s="10" t="str">
        <x:v>P5.8</x:v>
      </x:c>
      <x:c r="C212" s="10" t="str">
        <x:v>P5.10</x:v>
      </x:c>
      <x:c r="D212" s="10" t="str">
        <x:v>requires</x:v>
      </x:c>
      <x:c r="E212" s="10" t="str">
        <x:v>yes</x:v>
      </x:c>
      <x:c r="F212" s="10" t="str">
        <x:v>done</x:v>
      </x:c>
      <x:c r="G212" s="10" t="str">
        <x:v>All listed conditions apply unless an accepted ADR states otherwise.</x:v>
      </x:c>
      <x:c r="H212" s="10" t="str">
        <x:v>ELTS Build Plan P5.10</x:v>
      </x:c>
      <x:c r="I212" s="10" t="str"/>
    </x:row>
    <x:row r="213">
      <x:c r="A213" s="34" t="str">
        <x:v>DEP-0208</x:v>
      </x:c>
      <x:c r="B213" s="34" t="str">
        <x:v>G4</x:v>
      </x:c>
      <x:c r="C213" s="34" t="str">
        <x:v>P6.1</x:v>
      </x:c>
      <x:c r="D213" s="34" t="str">
        <x:v>unlocks</x:v>
      </x:c>
      <x:c r="E213" s="34" t="str">
        <x:v>yes</x:v>
      </x:c>
      <x:c r="F213" s="34" t="str">
        <x:v>passed</x:v>
      </x:c>
      <x:c r="G213" s="34" t="str">
        <x:v>All listed conditions apply unless an accepted ADR states otherwise.</x:v>
      </x:c>
      <x:c r="H213" s="34" t="str">
        <x:v>ELTS Build Plan P6.1</x:v>
      </x:c>
      <x:c r="I213" s="34" t="str"/>
    </x:row>
    <x:row r="214">
      <x:c r="A214" s="10" t="str">
        <x:v>DEP-0209</x:v>
      </x:c>
      <x:c r="B214" s="10" t="str">
        <x:v>D-03</x:v>
      </x:c>
      <x:c r="C214" s="10" t="str">
        <x:v>P6.1</x:v>
      </x:c>
      <x:c r="D214" s="10" t="str">
        <x:v>blocks</x:v>
      </x:c>
      <x:c r="E214" s="10" t="str">
        <x:v>yes</x:v>
      </x:c>
      <x:c r="F214" s="10" t="str">
        <x:v>decided</x:v>
      </x:c>
      <x:c r="G214" s="10" t="str">
        <x:v>All listed conditions apply unless an accepted ADR states otherwise.</x:v>
      </x:c>
      <x:c r="H214" s="10" t="str">
        <x:v>ELTS Build Plan P6.1</x:v>
      </x:c>
      <x:c r="I214" s="10" t="str"/>
    </x:row>
    <x:row r="215">
      <x:c r="A215" s="34" t="str">
        <x:v>DEP-0210</x:v>
      </x:c>
      <x:c r="B215" s="34" t="str">
        <x:v>D-10</x:v>
      </x:c>
      <x:c r="C215" s="34" t="str">
        <x:v>P6.1</x:v>
      </x:c>
      <x:c r="D215" s="34" t="str">
        <x:v>blocks</x:v>
      </x:c>
      <x:c r="E215" s="34" t="str">
        <x:v>yes</x:v>
      </x:c>
      <x:c r="F215" s="34" t="str">
        <x:v>decided</x:v>
      </x:c>
      <x:c r="G215" s="34" t="str">
        <x:v>All listed conditions apply unless an accepted ADR states otherwise.</x:v>
      </x:c>
      <x:c r="H215" s="34" t="str">
        <x:v>ELTS Build Plan P6.1</x:v>
      </x:c>
      <x:c r="I215" s="34" t="str"/>
    </x:row>
    <x:row r="216">
      <x:c r="A216" s="10" t="str">
        <x:v>DEP-0211</x:v>
      </x:c>
      <x:c r="B216" s="10" t="str">
        <x:v>G4</x:v>
      </x:c>
      <x:c r="C216" s="10" t="str">
        <x:v>P6.2</x:v>
      </x:c>
      <x:c r="D216" s="10" t="str">
        <x:v>unlocks</x:v>
      </x:c>
      <x:c r="E216" s="10" t="str">
        <x:v>yes</x:v>
      </x:c>
      <x:c r="F216" s="10" t="str">
        <x:v>passed</x:v>
      </x:c>
      <x:c r="G216" s="10" t="str">
        <x:v>All listed conditions apply unless an accepted ADR states otherwise.</x:v>
      </x:c>
      <x:c r="H216" s="10" t="str">
        <x:v>ELTS Build Plan P6.2</x:v>
      </x:c>
      <x:c r="I216" s="10" t="str"/>
    </x:row>
    <x:row r="217">
      <x:c r="A217" s="34" t="str">
        <x:v>DEP-0212</x:v>
      </x:c>
      <x:c r="B217" s="34" t="str">
        <x:v>D-03</x:v>
      </x:c>
      <x:c r="C217" s="34" t="str">
        <x:v>P6.2</x:v>
      </x:c>
      <x:c r="D217" s="34" t="str">
        <x:v>blocks</x:v>
      </x:c>
      <x:c r="E217" s="34" t="str">
        <x:v>yes</x:v>
      </x:c>
      <x:c r="F217" s="34" t="str">
        <x:v>decided</x:v>
      </x:c>
      <x:c r="G217" s="34" t="str">
        <x:v>All listed conditions apply unless an accepted ADR states otherwise.</x:v>
      </x:c>
      <x:c r="H217" s="34" t="str">
        <x:v>ELTS Build Plan P6.2</x:v>
      </x:c>
      <x:c r="I217" s="34" t="str"/>
    </x:row>
    <x:row r="218">
      <x:c r="A218" s="10" t="str">
        <x:v>DEP-0213</x:v>
      </x:c>
      <x:c r="B218" s="10" t="str">
        <x:v>D-10</x:v>
      </x:c>
      <x:c r="C218" s="10" t="str">
        <x:v>P6.2</x:v>
      </x:c>
      <x:c r="D218" s="10" t="str">
        <x:v>blocks</x:v>
      </x:c>
      <x:c r="E218" s="10" t="str">
        <x:v>yes</x:v>
      </x:c>
      <x:c r="F218" s="10" t="str">
        <x:v>decided</x:v>
      </x:c>
      <x:c r="G218" s="10" t="str">
        <x:v>All listed conditions apply unless an accepted ADR states otherwise.</x:v>
      </x:c>
      <x:c r="H218" s="10" t="str">
        <x:v>ELTS Build Plan P6.2</x:v>
      </x:c>
      <x:c r="I218" s="10" t="str"/>
    </x:row>
    <x:row r="219">
      <x:c r="A219" s="34" t="str">
        <x:v>DEP-0214</x:v>
      </x:c>
      <x:c r="B219" s="34" t="str">
        <x:v>P6.1</x:v>
      </x:c>
      <x:c r="C219" s="34" t="str">
        <x:v>P6.2</x:v>
      </x:c>
      <x:c r="D219" s="34" t="str">
        <x:v>requires</x:v>
      </x:c>
      <x:c r="E219" s="34" t="str">
        <x:v>yes</x:v>
      </x:c>
      <x:c r="F219" s="34" t="str">
        <x:v>done</x:v>
      </x:c>
      <x:c r="G219" s="34" t="str">
        <x:v>All listed conditions apply unless an accepted ADR states otherwise.</x:v>
      </x:c>
      <x:c r="H219" s="34" t="str">
        <x:v>ELTS Build Plan P6.2</x:v>
      </x:c>
      <x:c r="I219" s="34" t="str"/>
    </x:row>
    <x:row r="220">
      <x:c r="A220" s="10" t="str">
        <x:v>DEP-0215</x:v>
      </x:c>
      <x:c r="B220" s="10" t="str">
        <x:v>G4</x:v>
      </x:c>
      <x:c r="C220" s="10" t="str">
        <x:v>P6.3</x:v>
      </x:c>
      <x:c r="D220" s="10" t="str">
        <x:v>unlocks</x:v>
      </x:c>
      <x:c r="E220" s="10" t="str">
        <x:v>yes</x:v>
      </x:c>
      <x:c r="F220" s="10" t="str">
        <x:v>passed</x:v>
      </x:c>
      <x:c r="G220" s="10" t="str">
        <x:v>All listed conditions apply unless an accepted ADR states otherwise.</x:v>
      </x:c>
      <x:c r="H220" s="10" t="str">
        <x:v>ELTS Build Plan P6.3</x:v>
      </x:c>
      <x:c r="I220" s="10" t="str"/>
    </x:row>
    <x:row r="221">
      <x:c r="A221" s="34" t="str">
        <x:v>DEP-0216</x:v>
      </x:c>
      <x:c r="B221" s="34" t="str">
        <x:v>D-03</x:v>
      </x:c>
      <x:c r="C221" s="34" t="str">
        <x:v>P6.3</x:v>
      </x:c>
      <x:c r="D221" s="34" t="str">
        <x:v>blocks</x:v>
      </x:c>
      <x:c r="E221" s="34" t="str">
        <x:v>yes</x:v>
      </x:c>
      <x:c r="F221" s="34" t="str">
        <x:v>decided</x:v>
      </x:c>
      <x:c r="G221" s="34" t="str">
        <x:v>All listed conditions apply unless an accepted ADR states otherwise.</x:v>
      </x:c>
      <x:c r="H221" s="34" t="str">
        <x:v>ELTS Build Plan P6.3</x:v>
      </x:c>
      <x:c r="I221" s="34" t="str"/>
    </x:row>
    <x:row r="222">
      <x:c r="A222" s="10" t="str">
        <x:v>DEP-0217</x:v>
      </x:c>
      <x:c r="B222" s="10" t="str">
        <x:v>D-10</x:v>
      </x:c>
      <x:c r="C222" s="10" t="str">
        <x:v>P6.3</x:v>
      </x:c>
      <x:c r="D222" s="10" t="str">
        <x:v>blocks</x:v>
      </x:c>
      <x:c r="E222" s="10" t="str">
        <x:v>yes</x:v>
      </x:c>
      <x:c r="F222" s="10" t="str">
        <x:v>decided</x:v>
      </x:c>
      <x:c r="G222" s="10" t="str">
        <x:v>All listed conditions apply unless an accepted ADR states otherwise.</x:v>
      </x:c>
      <x:c r="H222" s="10" t="str">
        <x:v>ELTS Build Plan P6.3</x:v>
      </x:c>
      <x:c r="I222" s="10" t="str"/>
    </x:row>
    <x:row r="223">
      <x:c r="A223" s="34" t="str">
        <x:v>DEP-0218</x:v>
      </x:c>
      <x:c r="B223" s="34" t="str">
        <x:v>P2.2</x:v>
      </x:c>
      <x:c r="C223" s="34" t="str">
        <x:v>P6.3</x:v>
      </x:c>
      <x:c r="D223" s="34" t="str">
        <x:v>requires</x:v>
      </x:c>
      <x:c r="E223" s="34" t="str">
        <x:v>yes</x:v>
      </x:c>
      <x:c r="F223" s="34" t="str">
        <x:v>done</x:v>
      </x:c>
      <x:c r="G223" s="34" t="str">
        <x:v>All listed conditions apply unless an accepted ADR states otherwise.</x:v>
      </x:c>
      <x:c r="H223" s="34" t="str">
        <x:v>ELTS Build Plan P6.3</x:v>
      </x:c>
      <x:c r="I223" s="34" t="str"/>
    </x:row>
    <x:row r="224">
      <x:c r="A224" s="10" t="str">
        <x:v>DEP-0219</x:v>
      </x:c>
      <x:c r="B224" s="10" t="str">
        <x:v>P6.1</x:v>
      </x:c>
      <x:c r="C224" s="10" t="str">
        <x:v>P6.3</x:v>
      </x:c>
      <x:c r="D224" s="10" t="str">
        <x:v>requires</x:v>
      </x:c>
      <x:c r="E224" s="10" t="str">
        <x:v>yes</x:v>
      </x:c>
      <x:c r="F224" s="10" t="str">
        <x:v>done</x:v>
      </x:c>
      <x:c r="G224" s="10" t="str">
        <x:v>All listed conditions apply unless an accepted ADR states otherwise.</x:v>
      </x:c>
      <x:c r="H224" s="10" t="str">
        <x:v>ELTS Build Plan P6.3</x:v>
      </x:c>
      <x:c r="I224" s="10" t="str"/>
    </x:row>
    <x:row r="225">
      <x:c r="A225" s="34" t="str">
        <x:v>DEP-0220</x:v>
      </x:c>
      <x:c r="B225" s="34" t="str">
        <x:v>P6.2</x:v>
      </x:c>
      <x:c r="C225" s="34" t="str">
        <x:v>P6.3</x:v>
      </x:c>
      <x:c r="D225" s="34" t="str">
        <x:v>requires</x:v>
      </x:c>
      <x:c r="E225" s="34" t="str">
        <x:v>yes</x:v>
      </x:c>
      <x:c r="F225" s="34" t="str">
        <x:v>done</x:v>
      </x:c>
      <x:c r="G225" s="34" t="str">
        <x:v>All listed conditions apply unless an accepted ADR states otherwise.</x:v>
      </x:c>
      <x:c r="H225" s="34" t="str">
        <x:v>ELTS Build Plan P6.3</x:v>
      </x:c>
      <x:c r="I225" s="34" t="str"/>
    </x:row>
    <x:row r="226">
      <x:c r="A226" s="10" t="str">
        <x:v>DEP-0221</x:v>
      </x:c>
      <x:c r="B226" s="10" t="str">
        <x:v>G4</x:v>
      </x:c>
      <x:c r="C226" s="10" t="str">
        <x:v>P6.4</x:v>
      </x:c>
      <x:c r="D226" s="10" t="str">
        <x:v>unlocks</x:v>
      </x:c>
      <x:c r="E226" s="10" t="str">
        <x:v>yes</x:v>
      </x:c>
      <x:c r="F226" s="10" t="str">
        <x:v>passed</x:v>
      </x:c>
      <x:c r="G226" s="10" t="str">
        <x:v>All listed conditions apply unless an accepted ADR states otherwise.</x:v>
      </x:c>
      <x:c r="H226" s="10" t="str">
        <x:v>ELTS Build Plan P6.4</x:v>
      </x:c>
      <x:c r="I226" s="10" t="str"/>
    </x:row>
    <x:row r="227">
      <x:c r="A227" s="34" t="str">
        <x:v>DEP-0222</x:v>
      </x:c>
      <x:c r="B227" s="34" t="str">
        <x:v>D-03</x:v>
      </x:c>
      <x:c r="C227" s="34" t="str">
        <x:v>P6.4</x:v>
      </x:c>
      <x:c r="D227" s="34" t="str">
        <x:v>blocks</x:v>
      </x:c>
      <x:c r="E227" s="34" t="str">
        <x:v>yes</x:v>
      </x:c>
      <x:c r="F227" s="34" t="str">
        <x:v>decided</x:v>
      </x:c>
      <x:c r="G227" s="34" t="str">
        <x:v>All listed conditions apply unless an accepted ADR states otherwise.</x:v>
      </x:c>
      <x:c r="H227" s="34" t="str">
        <x:v>ELTS Build Plan P6.4</x:v>
      </x:c>
      <x:c r="I227" s="34" t="str"/>
    </x:row>
    <x:row r="228">
      <x:c r="A228" s="10" t="str">
        <x:v>DEP-0223</x:v>
      </x:c>
      <x:c r="B228" s="10" t="str">
        <x:v>D-10</x:v>
      </x:c>
      <x:c r="C228" s="10" t="str">
        <x:v>P6.4</x:v>
      </x:c>
      <x:c r="D228" s="10" t="str">
        <x:v>blocks</x:v>
      </x:c>
      <x:c r="E228" s="10" t="str">
        <x:v>yes</x:v>
      </x:c>
      <x:c r="F228" s="10" t="str">
        <x:v>decided</x:v>
      </x:c>
      <x:c r="G228" s="10" t="str">
        <x:v>All listed conditions apply unless an accepted ADR states otherwise.</x:v>
      </x:c>
      <x:c r="H228" s="10" t="str">
        <x:v>ELTS Build Plan P6.4</x:v>
      </x:c>
      <x:c r="I228" s="10" t="str"/>
    </x:row>
    <x:row r="229">
      <x:c r="A229" s="34" t="str">
        <x:v>DEP-0224</x:v>
      </x:c>
      <x:c r="B229" s="34" t="str">
        <x:v>P6.1</x:v>
      </x:c>
      <x:c r="C229" s="34" t="str">
        <x:v>P6.4</x:v>
      </x:c>
      <x:c r="D229" s="34" t="str">
        <x:v>requires</x:v>
      </x:c>
      <x:c r="E229" s="34" t="str">
        <x:v>yes</x:v>
      </x:c>
      <x:c r="F229" s="34" t="str">
        <x:v>done</x:v>
      </x:c>
      <x:c r="G229" s="34" t="str">
        <x:v>All listed conditions apply unless an accepted ADR states otherwise.</x:v>
      </x:c>
      <x:c r="H229" s="34" t="str">
        <x:v>ELTS Build Plan P6.4</x:v>
      </x:c>
      <x:c r="I229" s="34" t="str"/>
    </x:row>
    <x:row r="230">
      <x:c r="A230" s="10" t="str">
        <x:v>DEP-0225</x:v>
      </x:c>
      <x:c r="B230" s="10" t="str">
        <x:v>P6.2</x:v>
      </x:c>
      <x:c r="C230" s="10" t="str">
        <x:v>P6.4</x:v>
      </x:c>
      <x:c r="D230" s="10" t="str">
        <x:v>requires</x:v>
      </x:c>
      <x:c r="E230" s="10" t="str">
        <x:v>yes</x:v>
      </x:c>
      <x:c r="F230" s="10" t="str">
        <x:v>done</x:v>
      </x:c>
      <x:c r="G230" s="10" t="str">
        <x:v>All listed conditions apply unless an accepted ADR states otherwise.</x:v>
      </x:c>
      <x:c r="H230" s="10" t="str">
        <x:v>ELTS Build Plan P6.4</x:v>
      </x:c>
      <x:c r="I230" s="10" t="str"/>
    </x:row>
    <x:row r="231">
      <x:c r="A231" s="34" t="str">
        <x:v>DEP-0226</x:v>
      </x:c>
      <x:c r="B231" s="34" t="str">
        <x:v>G4</x:v>
      </x:c>
      <x:c r="C231" s="34" t="str">
        <x:v>P6.5</x:v>
      </x:c>
      <x:c r="D231" s="34" t="str">
        <x:v>unlocks</x:v>
      </x:c>
      <x:c r="E231" s="34" t="str">
        <x:v>yes</x:v>
      </x:c>
      <x:c r="F231" s="34" t="str">
        <x:v>passed</x:v>
      </x:c>
      <x:c r="G231" s="34" t="str">
        <x:v>All listed conditions apply unless an accepted ADR states otherwise.</x:v>
      </x:c>
      <x:c r="H231" s="34" t="str">
        <x:v>ELTS Build Plan P6.5</x:v>
      </x:c>
      <x:c r="I231" s="34" t="str"/>
    </x:row>
    <x:row r="232">
      <x:c r="A232" s="10" t="str">
        <x:v>DEP-0227</x:v>
      </x:c>
      <x:c r="B232" s="10" t="str">
        <x:v>D-03</x:v>
      </x:c>
      <x:c r="C232" s="10" t="str">
        <x:v>P6.5</x:v>
      </x:c>
      <x:c r="D232" s="10" t="str">
        <x:v>blocks</x:v>
      </x:c>
      <x:c r="E232" s="10" t="str">
        <x:v>yes</x:v>
      </x:c>
      <x:c r="F232" s="10" t="str">
        <x:v>decided</x:v>
      </x:c>
      <x:c r="G232" s="10" t="str">
        <x:v>All listed conditions apply unless an accepted ADR states otherwise.</x:v>
      </x:c>
      <x:c r="H232" s="10" t="str">
        <x:v>ELTS Build Plan P6.5</x:v>
      </x:c>
      <x:c r="I232" s="10" t="str"/>
    </x:row>
    <x:row r="233">
      <x:c r="A233" s="34" t="str">
        <x:v>DEP-0228</x:v>
      </x:c>
      <x:c r="B233" s="34" t="str">
        <x:v>D-10</x:v>
      </x:c>
      <x:c r="C233" s="34" t="str">
        <x:v>P6.5</x:v>
      </x:c>
      <x:c r="D233" s="34" t="str">
        <x:v>blocks</x:v>
      </x:c>
      <x:c r="E233" s="34" t="str">
        <x:v>yes</x:v>
      </x:c>
      <x:c r="F233" s="34" t="str">
        <x:v>decided</x:v>
      </x:c>
      <x:c r="G233" s="34" t="str">
        <x:v>All listed conditions apply unless an accepted ADR states otherwise.</x:v>
      </x:c>
      <x:c r="H233" s="34" t="str">
        <x:v>ELTS Build Plan P6.5</x:v>
      </x:c>
      <x:c r="I233" s="34" t="str"/>
    </x:row>
    <x:row r="234">
      <x:c r="A234" s="10" t="str">
        <x:v>DEP-0229</x:v>
      </x:c>
      <x:c r="B234" s="10" t="str">
        <x:v>P4.10</x:v>
      </x:c>
      <x:c r="C234" s="10" t="str">
        <x:v>P6.5</x:v>
      </x:c>
      <x:c r="D234" s="10" t="str">
        <x:v>requires</x:v>
      </x:c>
      <x:c r="E234" s="10" t="str">
        <x:v>yes</x:v>
      </x:c>
      <x:c r="F234" s="10" t="str">
        <x:v>done</x:v>
      </x:c>
      <x:c r="G234" s="10" t="str">
        <x:v>All listed conditions apply unless an accepted ADR states otherwise.</x:v>
      </x:c>
      <x:c r="H234" s="10" t="str">
        <x:v>ELTS Build Plan P6.5</x:v>
      </x:c>
      <x:c r="I234" s="10" t="str"/>
    </x:row>
    <x:row r="235">
      <x:c r="A235" s="34" t="str">
        <x:v>DEP-0230</x:v>
      </x:c>
      <x:c r="B235" s="34" t="str">
        <x:v>P6.1</x:v>
      </x:c>
      <x:c r="C235" s="34" t="str">
        <x:v>P6.5</x:v>
      </x:c>
      <x:c r="D235" s="34" t="str">
        <x:v>requires</x:v>
      </x:c>
      <x:c r="E235" s="34" t="str">
        <x:v>yes</x:v>
      </x:c>
      <x:c r="F235" s="34" t="str">
        <x:v>done</x:v>
      </x:c>
      <x:c r="G235" s="34" t="str">
        <x:v>All listed conditions apply unless an accepted ADR states otherwise.</x:v>
      </x:c>
      <x:c r="H235" s="34" t="str">
        <x:v>ELTS Build Plan P6.5</x:v>
      </x:c>
      <x:c r="I235" s="34" t="str"/>
    </x:row>
    <x:row r="236">
      <x:c r="A236" s="10" t="str">
        <x:v>DEP-0231</x:v>
      </x:c>
      <x:c r="B236" s="10" t="str">
        <x:v>P6.2</x:v>
      </x:c>
      <x:c r="C236" s="10" t="str">
        <x:v>P6.5</x:v>
      </x:c>
      <x:c r="D236" s="10" t="str">
        <x:v>requires</x:v>
      </x:c>
      <x:c r="E236" s="10" t="str">
        <x:v>yes</x:v>
      </x:c>
      <x:c r="F236" s="10" t="str">
        <x:v>done</x:v>
      </x:c>
      <x:c r="G236" s="10" t="str">
        <x:v>All listed conditions apply unless an accepted ADR states otherwise.</x:v>
      </x:c>
      <x:c r="H236" s="10" t="str">
        <x:v>ELTS Build Plan P6.5</x:v>
      </x:c>
      <x:c r="I236" s="10" t="str"/>
    </x:row>
    <x:row r="237">
      <x:c r="A237" s="34" t="str">
        <x:v>DEP-0232</x:v>
      </x:c>
      <x:c r="B237" s="34" t="str">
        <x:v>P6.3</x:v>
      </x:c>
      <x:c r="C237" s="34" t="str">
        <x:v>P6.5</x:v>
      </x:c>
      <x:c r="D237" s="34" t="str">
        <x:v>requires</x:v>
      </x:c>
      <x:c r="E237" s="34" t="str">
        <x:v>yes</x:v>
      </x:c>
      <x:c r="F237" s="34" t="str">
        <x:v>done</x:v>
      </x:c>
      <x:c r="G237" s="34" t="str">
        <x:v>All listed conditions apply unless an accepted ADR states otherwise.</x:v>
      </x:c>
      <x:c r="H237" s="34" t="str">
        <x:v>ELTS Build Plan P6.5</x:v>
      </x:c>
      <x:c r="I237" s="34" t="str"/>
    </x:row>
    <x:row r="238">
      <x:c r="A238" s="10" t="str">
        <x:v>DEP-0233</x:v>
      </x:c>
      <x:c r="B238" s="10" t="str">
        <x:v>P6.4</x:v>
      </x:c>
      <x:c r="C238" s="10" t="str">
        <x:v>P6.5</x:v>
      </x:c>
      <x:c r="D238" s="10" t="str">
        <x:v>requires</x:v>
      </x:c>
      <x:c r="E238" s="10" t="str">
        <x:v>yes</x:v>
      </x:c>
      <x:c r="F238" s="10" t="str">
        <x:v>done</x:v>
      </x:c>
      <x:c r="G238" s="10" t="str">
        <x:v>All listed conditions apply unless an accepted ADR states otherwise.</x:v>
      </x:c>
      <x:c r="H238" s="10" t="str">
        <x:v>ELTS Build Plan P6.5</x:v>
      </x:c>
      <x:c r="I238" s="10" t="str"/>
    </x:row>
    <x:row r="239">
      <x:c r="A239" s="34" t="str">
        <x:v>DEP-0234</x:v>
      </x:c>
      <x:c r="B239" s="34" t="str">
        <x:v>G4</x:v>
      </x:c>
      <x:c r="C239" s="34" t="str">
        <x:v>P6.6</x:v>
      </x:c>
      <x:c r="D239" s="34" t="str">
        <x:v>unlocks</x:v>
      </x:c>
      <x:c r="E239" s="34" t="str">
        <x:v>yes</x:v>
      </x:c>
      <x:c r="F239" s="34" t="str">
        <x:v>passed</x:v>
      </x:c>
      <x:c r="G239" s="34" t="str">
        <x:v>All listed conditions apply unless an accepted ADR states otherwise.</x:v>
      </x:c>
      <x:c r="H239" s="34" t="str">
        <x:v>ELTS Build Plan P6.6</x:v>
      </x:c>
      <x:c r="I239" s="34" t="str"/>
    </x:row>
    <x:row r="240">
      <x:c r="A240" s="10" t="str">
        <x:v>DEP-0235</x:v>
      </x:c>
      <x:c r="B240" s="10" t="str">
        <x:v>D-03</x:v>
      </x:c>
      <x:c r="C240" s="10" t="str">
        <x:v>P6.6</x:v>
      </x:c>
      <x:c r="D240" s="10" t="str">
        <x:v>blocks</x:v>
      </x:c>
      <x:c r="E240" s="10" t="str">
        <x:v>yes</x:v>
      </x:c>
      <x:c r="F240" s="10" t="str">
        <x:v>decided</x:v>
      </x:c>
      <x:c r="G240" s="10" t="str">
        <x:v>All listed conditions apply unless an accepted ADR states otherwise.</x:v>
      </x:c>
      <x:c r="H240" s="10" t="str">
        <x:v>ELTS Build Plan P6.6</x:v>
      </x:c>
      <x:c r="I240" s="10" t="str"/>
    </x:row>
    <x:row r="241">
      <x:c r="A241" s="34" t="str">
        <x:v>DEP-0236</x:v>
      </x:c>
      <x:c r="B241" s="34" t="str">
        <x:v>D-10</x:v>
      </x:c>
      <x:c r="C241" s="34" t="str">
        <x:v>P6.6</x:v>
      </x:c>
      <x:c r="D241" s="34" t="str">
        <x:v>blocks</x:v>
      </x:c>
      <x:c r="E241" s="34" t="str">
        <x:v>yes</x:v>
      </x:c>
      <x:c r="F241" s="34" t="str">
        <x:v>decided</x:v>
      </x:c>
      <x:c r="G241" s="34" t="str">
        <x:v>All listed conditions apply unless an accepted ADR states otherwise.</x:v>
      </x:c>
      <x:c r="H241" s="34" t="str">
        <x:v>ELTS Build Plan P6.6</x:v>
      </x:c>
      <x:c r="I241" s="34" t="str"/>
    </x:row>
    <x:row r="242">
      <x:c r="A242" s="10" t="str">
        <x:v>DEP-0237</x:v>
      </x:c>
      <x:c r="B242" s="10" t="str">
        <x:v>P6.1</x:v>
      </x:c>
      <x:c r="C242" s="10" t="str">
        <x:v>P6.6</x:v>
      </x:c>
      <x:c r="D242" s="10" t="str">
        <x:v>requires</x:v>
      </x:c>
      <x:c r="E242" s="10" t="str">
        <x:v>yes</x:v>
      </x:c>
      <x:c r="F242" s="10" t="str">
        <x:v>done</x:v>
      </x:c>
      <x:c r="G242" s="10" t="str">
        <x:v>All listed conditions apply unless an accepted ADR states otherwise.</x:v>
      </x:c>
      <x:c r="H242" s="10" t="str">
        <x:v>ELTS Build Plan P6.6</x:v>
      </x:c>
      <x:c r="I242" s="10" t="str"/>
    </x:row>
    <x:row r="243">
      <x:c r="A243" s="34" t="str">
        <x:v>DEP-0238</x:v>
      </x:c>
      <x:c r="B243" s="34" t="str">
        <x:v>G4</x:v>
      </x:c>
      <x:c r="C243" s="34" t="str">
        <x:v>P6.7</x:v>
      </x:c>
      <x:c r="D243" s="34" t="str">
        <x:v>unlocks</x:v>
      </x:c>
      <x:c r="E243" s="34" t="str">
        <x:v>yes</x:v>
      </x:c>
      <x:c r="F243" s="34" t="str">
        <x:v>passed</x:v>
      </x:c>
      <x:c r="G243" s="34" t="str">
        <x:v>All listed conditions apply unless an accepted ADR states otherwise.</x:v>
      </x:c>
      <x:c r="H243" s="34" t="str">
        <x:v>ELTS Build Plan P6.7</x:v>
      </x:c>
      <x:c r="I243" s="34" t="str"/>
    </x:row>
    <x:row r="244">
      <x:c r="A244" s="10" t="str">
        <x:v>DEP-0239</x:v>
      </x:c>
      <x:c r="B244" s="10" t="str">
        <x:v>D-03</x:v>
      </x:c>
      <x:c r="C244" s="10" t="str">
        <x:v>P6.7</x:v>
      </x:c>
      <x:c r="D244" s="10" t="str">
        <x:v>blocks</x:v>
      </x:c>
      <x:c r="E244" s="10" t="str">
        <x:v>yes</x:v>
      </x:c>
      <x:c r="F244" s="10" t="str">
        <x:v>decided</x:v>
      </x:c>
      <x:c r="G244" s="10" t="str">
        <x:v>All listed conditions apply unless an accepted ADR states otherwise.</x:v>
      </x:c>
      <x:c r="H244" s="10" t="str">
        <x:v>ELTS Build Plan P6.7</x:v>
      </x:c>
      <x:c r="I244" s="10" t="str"/>
    </x:row>
    <x:row r="245">
      <x:c r="A245" s="34" t="str">
        <x:v>DEP-0240</x:v>
      </x:c>
      <x:c r="B245" s="34" t="str">
        <x:v>D-10</x:v>
      </x:c>
      <x:c r="C245" s="34" t="str">
        <x:v>P6.7</x:v>
      </x:c>
      <x:c r="D245" s="34" t="str">
        <x:v>blocks</x:v>
      </x:c>
      <x:c r="E245" s="34" t="str">
        <x:v>yes</x:v>
      </x:c>
      <x:c r="F245" s="34" t="str">
        <x:v>decided</x:v>
      </x:c>
      <x:c r="G245" s="34" t="str">
        <x:v>All listed conditions apply unless an accepted ADR states otherwise.</x:v>
      </x:c>
      <x:c r="H245" s="34" t="str">
        <x:v>ELTS Build Plan P6.7</x:v>
      </x:c>
      <x:c r="I245" s="34" t="str"/>
    </x:row>
    <x:row r="246">
      <x:c r="A246" s="10" t="str">
        <x:v>DEP-0241</x:v>
      </x:c>
      <x:c r="B246" s="10" t="str">
        <x:v>P6.1</x:v>
      </x:c>
      <x:c r="C246" s="10" t="str">
        <x:v>P6.7</x:v>
      </x:c>
      <x:c r="D246" s="10" t="str">
        <x:v>requires</x:v>
      </x:c>
      <x:c r="E246" s="10" t="str">
        <x:v>yes</x:v>
      </x:c>
      <x:c r="F246" s="10" t="str">
        <x:v>done</x:v>
      </x:c>
      <x:c r="G246" s="10" t="str">
        <x:v>All listed conditions apply unless an accepted ADR states otherwise.</x:v>
      </x:c>
      <x:c r="H246" s="10" t="str">
        <x:v>ELTS Build Plan P6.7</x:v>
      </x:c>
      <x:c r="I246" s="10" t="str"/>
    </x:row>
    <x:row r="247">
      <x:c r="A247" s="34" t="str">
        <x:v>DEP-0242</x:v>
      </x:c>
      <x:c r="B247" s="34" t="str">
        <x:v>P6.2</x:v>
      </x:c>
      <x:c r="C247" s="34" t="str">
        <x:v>P6.7</x:v>
      </x:c>
      <x:c r="D247" s="34" t="str">
        <x:v>requires</x:v>
      </x:c>
      <x:c r="E247" s="34" t="str">
        <x:v>yes</x:v>
      </x:c>
      <x:c r="F247" s="34" t="str">
        <x:v>done</x:v>
      </x:c>
      <x:c r="G247" s="34" t="str">
        <x:v>All listed conditions apply unless an accepted ADR states otherwise.</x:v>
      </x:c>
      <x:c r="H247" s="34" t="str">
        <x:v>ELTS Build Plan P6.7</x:v>
      </x:c>
      <x:c r="I247" s="34" t="str"/>
    </x:row>
    <x:row r="248">
      <x:c r="A248" s="10" t="str">
        <x:v>DEP-0243</x:v>
      </x:c>
      <x:c r="B248" s="10" t="str">
        <x:v>G4</x:v>
      </x:c>
      <x:c r="C248" s="10" t="str">
        <x:v>P6.8</x:v>
      </x:c>
      <x:c r="D248" s="10" t="str">
        <x:v>unlocks</x:v>
      </x:c>
      <x:c r="E248" s="10" t="str">
        <x:v>yes</x:v>
      </x:c>
      <x:c r="F248" s="10" t="str">
        <x:v>passed</x:v>
      </x:c>
      <x:c r="G248" s="10" t="str">
        <x:v>All listed conditions apply unless an accepted ADR states otherwise.</x:v>
      </x:c>
      <x:c r="H248" s="10" t="str">
        <x:v>ELTS Build Plan P6.8</x:v>
      </x:c>
      <x:c r="I248" s="10" t="str"/>
    </x:row>
    <x:row r="249">
      <x:c r="A249" s="34" t="str">
        <x:v>DEP-0244</x:v>
      </x:c>
      <x:c r="B249" s="34" t="str">
        <x:v>D-03</x:v>
      </x:c>
      <x:c r="C249" s="34" t="str">
        <x:v>P6.8</x:v>
      </x:c>
      <x:c r="D249" s="34" t="str">
        <x:v>blocks</x:v>
      </x:c>
      <x:c r="E249" s="34" t="str">
        <x:v>yes</x:v>
      </x:c>
      <x:c r="F249" s="34" t="str">
        <x:v>decided</x:v>
      </x:c>
      <x:c r="G249" s="34" t="str">
        <x:v>All listed conditions apply unless an accepted ADR states otherwise.</x:v>
      </x:c>
      <x:c r="H249" s="34" t="str">
        <x:v>ELTS Build Plan P6.8</x:v>
      </x:c>
      <x:c r="I249" s="34" t="str"/>
    </x:row>
    <x:row r="250">
      <x:c r="A250" s="10" t="str">
        <x:v>DEP-0245</x:v>
      </x:c>
      <x:c r="B250" s="10" t="str">
        <x:v>D-10</x:v>
      </x:c>
      <x:c r="C250" s="10" t="str">
        <x:v>P6.8</x:v>
      </x:c>
      <x:c r="D250" s="10" t="str">
        <x:v>blocks</x:v>
      </x:c>
      <x:c r="E250" s="10" t="str">
        <x:v>yes</x:v>
      </x:c>
      <x:c r="F250" s="10" t="str">
        <x:v>decided</x:v>
      </x:c>
      <x:c r="G250" s="10" t="str">
        <x:v>All listed conditions apply unless an accepted ADR states otherwise.</x:v>
      </x:c>
      <x:c r="H250" s="10" t="str">
        <x:v>ELTS Build Plan P6.8</x:v>
      </x:c>
      <x:c r="I250" s="10" t="str"/>
    </x:row>
    <x:row r="251">
      <x:c r="A251" s="34" t="str">
        <x:v>DEP-0246</x:v>
      </x:c>
      <x:c r="B251" s="34" t="str">
        <x:v>P6.7</x:v>
      </x:c>
      <x:c r="C251" s="34" t="str">
        <x:v>P6.8</x:v>
      </x:c>
      <x:c r="D251" s="34" t="str">
        <x:v>requires</x:v>
      </x:c>
      <x:c r="E251" s="34" t="str">
        <x:v>yes</x:v>
      </x:c>
      <x:c r="F251" s="34" t="str">
        <x:v>done</x:v>
      </x:c>
      <x:c r="G251" s="34" t="str">
        <x:v>All listed conditions apply unless an accepted ADR states otherwise.</x:v>
      </x:c>
      <x:c r="H251" s="34" t="str">
        <x:v>ELTS Build Plan P6.8</x:v>
      </x:c>
      <x:c r="I251" s="34" t="str"/>
    </x:row>
    <x:row r="252">
      <x:c r="A252" s="10" t="str">
        <x:v>DEP-0247</x:v>
      </x:c>
      <x:c r="B252" s="10" t="str">
        <x:v>D-13</x:v>
      </x:c>
      <x:c r="C252" s="10" t="str">
        <x:v>P6.8</x:v>
      </x:c>
      <x:c r="D252" s="10" t="str">
        <x:v>blocks</x:v>
      </x:c>
      <x:c r="E252" s="10" t="str">
        <x:v>yes</x:v>
      </x:c>
      <x:c r="F252" s="10" t="str">
        <x:v>decided</x:v>
      </x:c>
      <x:c r="G252" s="10" t="str">
        <x:v>All listed conditions apply unless an accepted ADR states otherwise.</x:v>
      </x:c>
      <x:c r="H252" s="10" t="str">
        <x:v>ELTS Build Plan P6.8</x:v>
      </x:c>
      <x:c r="I252" s="10" t="str"/>
    </x:row>
    <x:row r="253">
      <x:c r="A253" s="34" t="str">
        <x:v>DEP-0248</x:v>
      </x:c>
      <x:c r="B253" s="34" t="str">
        <x:v>G4</x:v>
      </x:c>
      <x:c r="C253" s="34" t="str">
        <x:v>P6.9</x:v>
      </x:c>
      <x:c r="D253" s="34" t="str">
        <x:v>unlocks</x:v>
      </x:c>
      <x:c r="E253" s="34" t="str">
        <x:v>yes</x:v>
      </x:c>
      <x:c r="F253" s="34" t="str">
        <x:v>passed</x:v>
      </x:c>
      <x:c r="G253" s="34" t="str">
        <x:v>All listed conditions apply unless an accepted ADR states otherwise.</x:v>
      </x:c>
      <x:c r="H253" s="34" t="str">
        <x:v>ELTS Build Plan P6.9</x:v>
      </x:c>
      <x:c r="I253" s="34" t="str"/>
    </x:row>
    <x:row r="254">
      <x:c r="A254" s="10" t="str">
        <x:v>DEP-0249</x:v>
      </x:c>
      <x:c r="B254" s="10" t="str">
        <x:v>D-03</x:v>
      </x:c>
      <x:c r="C254" s="10" t="str">
        <x:v>P6.9</x:v>
      </x:c>
      <x:c r="D254" s="10" t="str">
        <x:v>blocks</x:v>
      </x:c>
      <x:c r="E254" s="10" t="str">
        <x:v>yes</x:v>
      </x:c>
      <x:c r="F254" s="10" t="str">
        <x:v>decided</x:v>
      </x:c>
      <x:c r="G254" s="10" t="str">
        <x:v>All listed conditions apply unless an accepted ADR states otherwise.</x:v>
      </x:c>
      <x:c r="H254" s="10" t="str">
        <x:v>ELTS Build Plan P6.9</x:v>
      </x:c>
      <x:c r="I254" s="10" t="str"/>
    </x:row>
    <x:row r="255">
      <x:c r="A255" s="34" t="str">
        <x:v>DEP-0250</x:v>
      </x:c>
      <x:c r="B255" s="34" t="str">
        <x:v>D-10</x:v>
      </x:c>
      <x:c r="C255" s="34" t="str">
        <x:v>P6.9</x:v>
      </x:c>
      <x:c r="D255" s="34" t="str">
        <x:v>blocks</x:v>
      </x:c>
      <x:c r="E255" s="34" t="str">
        <x:v>yes</x:v>
      </x:c>
      <x:c r="F255" s="34" t="str">
        <x:v>decided</x:v>
      </x:c>
      <x:c r="G255" s="34" t="str">
        <x:v>All listed conditions apply unless an accepted ADR states otherwise.</x:v>
      </x:c>
      <x:c r="H255" s="34" t="str">
        <x:v>ELTS Build Plan P6.9</x:v>
      </x:c>
      <x:c r="I255" s="34" t="str"/>
    </x:row>
    <x:row r="256">
      <x:c r="A256" s="10" t="str">
        <x:v>DEP-0251</x:v>
      </x:c>
      <x:c r="B256" s="10" t="str">
        <x:v>P6.7</x:v>
      </x:c>
      <x:c r="C256" s="10" t="str">
        <x:v>P6.9</x:v>
      </x:c>
      <x:c r="D256" s="10" t="str">
        <x:v>requires</x:v>
      </x:c>
      <x:c r="E256" s="10" t="str">
        <x:v>yes</x:v>
      </x:c>
      <x:c r="F256" s="10" t="str">
        <x:v>done</x:v>
      </x:c>
      <x:c r="G256" s="10" t="str">
        <x:v>All listed conditions apply unless an accepted ADR states otherwise.</x:v>
      </x:c>
      <x:c r="H256" s="10" t="str">
        <x:v>ELTS Build Plan P6.9</x:v>
      </x:c>
      <x:c r="I256" s="10" t="str"/>
    </x:row>
    <x:row r="257">
      <x:c r="A257" s="34" t="str">
        <x:v>DEP-0252</x:v>
      </x:c>
      <x:c r="B257" s="34" t="str">
        <x:v>G4</x:v>
      </x:c>
      <x:c r="C257" s="34" t="str">
        <x:v>P6.10</x:v>
      </x:c>
      <x:c r="D257" s="34" t="str">
        <x:v>unlocks</x:v>
      </x:c>
      <x:c r="E257" s="34" t="str">
        <x:v>yes</x:v>
      </x:c>
      <x:c r="F257" s="34" t="str">
        <x:v>passed</x:v>
      </x:c>
      <x:c r="G257" s="34" t="str">
        <x:v>All listed conditions apply unless an accepted ADR states otherwise.</x:v>
      </x:c>
      <x:c r="H257" s="34" t="str">
        <x:v>ELTS Build Plan P6.10</x:v>
      </x:c>
      <x:c r="I257" s="34" t="str"/>
    </x:row>
    <x:row r="258">
      <x:c r="A258" s="10" t="str">
        <x:v>DEP-0253</x:v>
      </x:c>
      <x:c r="B258" s="10" t="str">
        <x:v>D-03</x:v>
      </x:c>
      <x:c r="C258" s="10" t="str">
        <x:v>P6.10</x:v>
      </x:c>
      <x:c r="D258" s="10" t="str">
        <x:v>blocks</x:v>
      </x:c>
      <x:c r="E258" s="10" t="str">
        <x:v>yes</x:v>
      </x:c>
      <x:c r="F258" s="10" t="str">
        <x:v>decided</x:v>
      </x:c>
      <x:c r="G258" s="10" t="str">
        <x:v>All listed conditions apply unless an accepted ADR states otherwise.</x:v>
      </x:c>
      <x:c r="H258" s="10" t="str">
        <x:v>ELTS Build Plan P6.10</x:v>
      </x:c>
      <x:c r="I258" s="10" t="str"/>
    </x:row>
    <x:row r="259">
      <x:c r="A259" s="34" t="str">
        <x:v>DEP-0254</x:v>
      </x:c>
      <x:c r="B259" s="34" t="str">
        <x:v>D-10</x:v>
      </x:c>
      <x:c r="C259" s="34" t="str">
        <x:v>P6.10</x:v>
      </x:c>
      <x:c r="D259" s="34" t="str">
        <x:v>blocks</x:v>
      </x:c>
      <x:c r="E259" s="34" t="str">
        <x:v>yes</x:v>
      </x:c>
      <x:c r="F259" s="34" t="str">
        <x:v>decided</x:v>
      </x:c>
      <x:c r="G259" s="34" t="str">
        <x:v>All listed conditions apply unless an accepted ADR states otherwise.</x:v>
      </x:c>
      <x:c r="H259" s="34" t="str">
        <x:v>ELTS Build Plan P6.10</x:v>
      </x:c>
      <x:c r="I259" s="34" t="str"/>
    </x:row>
    <x:row r="260">
      <x:c r="A260" s="10" t="str">
        <x:v>DEP-0255</x:v>
      </x:c>
      <x:c r="B260" s="10" t="str">
        <x:v>P6.7</x:v>
      </x:c>
      <x:c r="C260" s="10" t="str">
        <x:v>P6.10</x:v>
      </x:c>
      <x:c r="D260" s="10" t="str">
        <x:v>requires</x:v>
      </x:c>
      <x:c r="E260" s="10" t="str">
        <x:v>yes</x:v>
      </x:c>
      <x:c r="F260" s="10" t="str">
        <x:v>done</x:v>
      </x:c>
      <x:c r="G260" s="10" t="str">
        <x:v>All listed conditions apply unless an accepted ADR states otherwise.</x:v>
      </x:c>
      <x:c r="H260" s="10" t="str">
        <x:v>ELTS Build Plan P6.10</x:v>
      </x:c>
      <x:c r="I260" s="10" t="str"/>
    </x:row>
    <x:row r="261">
      <x:c r="A261" s="34" t="str">
        <x:v>DEP-0256</x:v>
      </x:c>
      <x:c r="B261" s="34" t="str">
        <x:v>G4</x:v>
      </x:c>
      <x:c r="C261" s="34" t="str">
        <x:v>P6.11</x:v>
      </x:c>
      <x:c r="D261" s="34" t="str">
        <x:v>unlocks</x:v>
      </x:c>
      <x:c r="E261" s="34" t="str">
        <x:v>yes</x:v>
      </x:c>
      <x:c r="F261" s="34" t="str">
        <x:v>passed</x:v>
      </x:c>
      <x:c r="G261" s="34" t="str">
        <x:v>All listed conditions apply unless an accepted ADR states otherwise.</x:v>
      </x:c>
      <x:c r="H261" s="34" t="str">
        <x:v>ELTS Build Plan P6.11</x:v>
      </x:c>
      <x:c r="I261" s="34" t="str"/>
    </x:row>
    <x:row r="262">
      <x:c r="A262" s="10" t="str">
        <x:v>DEP-0257</x:v>
      </x:c>
      <x:c r="B262" s="10" t="str">
        <x:v>D-03</x:v>
      </x:c>
      <x:c r="C262" s="10" t="str">
        <x:v>P6.11</x:v>
      </x:c>
      <x:c r="D262" s="10" t="str">
        <x:v>blocks</x:v>
      </x:c>
      <x:c r="E262" s="10" t="str">
        <x:v>yes</x:v>
      </x:c>
      <x:c r="F262" s="10" t="str">
        <x:v>decided</x:v>
      </x:c>
      <x:c r="G262" s="10" t="str">
        <x:v>All listed conditions apply unless an accepted ADR states otherwise.</x:v>
      </x:c>
      <x:c r="H262" s="10" t="str">
        <x:v>ELTS Build Plan P6.11</x:v>
      </x:c>
      <x:c r="I262" s="10" t="str"/>
    </x:row>
    <x:row r="263">
      <x:c r="A263" s="34" t="str">
        <x:v>DEP-0258</x:v>
      </x:c>
      <x:c r="B263" s="34" t="str">
        <x:v>D-10</x:v>
      </x:c>
      <x:c r="C263" s="34" t="str">
        <x:v>P6.11</x:v>
      </x:c>
      <x:c r="D263" s="34" t="str">
        <x:v>blocks</x:v>
      </x:c>
      <x:c r="E263" s="34" t="str">
        <x:v>yes</x:v>
      </x:c>
      <x:c r="F263" s="34" t="str">
        <x:v>decided</x:v>
      </x:c>
      <x:c r="G263" s="34" t="str">
        <x:v>All listed conditions apply unless an accepted ADR states otherwise.</x:v>
      </x:c>
      <x:c r="H263" s="34" t="str">
        <x:v>ELTS Build Plan P6.11</x:v>
      </x:c>
      <x:c r="I263" s="34" t="str"/>
    </x:row>
    <x:row r="264">
      <x:c r="A264" s="10" t="str">
        <x:v>DEP-0259</x:v>
      </x:c>
      <x:c r="B264" s="10" t="str">
        <x:v>P6.1</x:v>
      </x:c>
      <x:c r="C264" s="10" t="str">
        <x:v>P6.11</x:v>
      </x:c>
      <x:c r="D264" s="10" t="str">
        <x:v>requires</x:v>
      </x:c>
      <x:c r="E264" s="10" t="str">
        <x:v>yes</x:v>
      </x:c>
      <x:c r="F264" s="10" t="str">
        <x:v>done</x:v>
      </x:c>
      <x:c r="G264" s="10" t="str">
        <x:v>All listed conditions apply unless an accepted ADR states otherwise.</x:v>
      </x:c>
      <x:c r="H264" s="10" t="str">
        <x:v>ELTS Build Plan P6.11</x:v>
      </x:c>
      <x:c r="I264" s="10" t="str"/>
    </x:row>
    <x:row r="265">
      <x:c r="A265" s="34" t="str">
        <x:v>DEP-0260</x:v>
      </x:c>
      <x:c r="B265" s="34" t="str">
        <x:v>P6.2</x:v>
      </x:c>
      <x:c r="C265" s="34" t="str">
        <x:v>P6.11</x:v>
      </x:c>
      <x:c r="D265" s="34" t="str">
        <x:v>requires</x:v>
      </x:c>
      <x:c r="E265" s="34" t="str">
        <x:v>yes</x:v>
      </x:c>
      <x:c r="F265" s="34" t="str">
        <x:v>done</x:v>
      </x:c>
      <x:c r="G265" s="34" t="str">
        <x:v>All listed conditions apply unless an accepted ADR states otherwise.</x:v>
      </x:c>
      <x:c r="H265" s="34" t="str">
        <x:v>ELTS Build Plan P6.11</x:v>
      </x:c>
      <x:c r="I265" s="34" t="str"/>
    </x:row>
    <x:row r="266">
      <x:c r="A266" s="10" t="str">
        <x:v>DEP-0261</x:v>
      </x:c>
      <x:c r="B266" s="10" t="str">
        <x:v>P6.3</x:v>
      </x:c>
      <x:c r="C266" s="10" t="str">
        <x:v>P6.11</x:v>
      </x:c>
      <x:c r="D266" s="10" t="str">
        <x:v>requires</x:v>
      </x:c>
      <x:c r="E266" s="10" t="str">
        <x:v>yes</x:v>
      </x:c>
      <x:c r="F266" s="10" t="str">
        <x:v>done</x:v>
      </x:c>
      <x:c r="G266" s="10" t="str">
        <x:v>All listed conditions apply unless an accepted ADR states otherwise.</x:v>
      </x:c>
      <x:c r="H266" s="10" t="str">
        <x:v>ELTS Build Plan P6.11</x:v>
      </x:c>
      <x:c r="I266" s="10" t="str"/>
    </x:row>
    <x:row r="267">
      <x:c r="A267" s="34" t="str">
        <x:v>DEP-0262</x:v>
      </x:c>
      <x:c r="B267" s="34" t="str">
        <x:v>P6.4</x:v>
      </x:c>
      <x:c r="C267" s="34" t="str">
        <x:v>P6.11</x:v>
      </x:c>
      <x:c r="D267" s="34" t="str">
        <x:v>requires</x:v>
      </x:c>
      <x:c r="E267" s="34" t="str">
        <x:v>yes</x:v>
      </x:c>
      <x:c r="F267" s="34" t="str">
        <x:v>done</x:v>
      </x:c>
      <x:c r="G267" s="34" t="str">
        <x:v>All listed conditions apply unless an accepted ADR states otherwise.</x:v>
      </x:c>
      <x:c r="H267" s="34" t="str">
        <x:v>ELTS Build Plan P6.11</x:v>
      </x:c>
      <x:c r="I267" s="34" t="str"/>
    </x:row>
    <x:row r="268">
      <x:c r="A268" s="10" t="str">
        <x:v>DEP-0263</x:v>
      </x:c>
      <x:c r="B268" s="10" t="str">
        <x:v>P6.5</x:v>
      </x:c>
      <x:c r="C268" s="10" t="str">
        <x:v>P6.11</x:v>
      </x:c>
      <x:c r="D268" s="10" t="str">
        <x:v>requires</x:v>
      </x:c>
      <x:c r="E268" s="10" t="str">
        <x:v>yes</x:v>
      </x:c>
      <x:c r="F268" s="10" t="str">
        <x:v>done</x:v>
      </x:c>
      <x:c r="G268" s="10" t="str">
        <x:v>All listed conditions apply unless an accepted ADR states otherwise.</x:v>
      </x:c>
      <x:c r="H268" s="10" t="str">
        <x:v>ELTS Build Plan P6.11</x:v>
      </x:c>
      <x:c r="I268" s="10" t="str"/>
    </x:row>
    <x:row r="269">
      <x:c r="A269" s="34" t="str">
        <x:v>DEP-0264</x:v>
      </x:c>
      <x:c r="B269" s="34" t="str">
        <x:v>P6.6</x:v>
      </x:c>
      <x:c r="C269" s="34" t="str">
        <x:v>P6.11</x:v>
      </x:c>
      <x:c r="D269" s="34" t="str">
        <x:v>requires</x:v>
      </x:c>
      <x:c r="E269" s="34" t="str">
        <x:v>yes</x:v>
      </x:c>
      <x:c r="F269" s="34" t="str">
        <x:v>done</x:v>
      </x:c>
      <x:c r="G269" s="34" t="str">
        <x:v>All listed conditions apply unless an accepted ADR states otherwise.</x:v>
      </x:c>
      <x:c r="H269" s="34" t="str">
        <x:v>ELTS Build Plan P6.11</x:v>
      </x:c>
      <x:c r="I269" s="34" t="str"/>
    </x:row>
    <x:row r="270">
      <x:c r="A270" s="10" t="str">
        <x:v>DEP-0265</x:v>
      </x:c>
      <x:c r="B270" s="10" t="str">
        <x:v>P6.7</x:v>
      </x:c>
      <x:c r="C270" s="10" t="str">
        <x:v>P6.11</x:v>
      </x:c>
      <x:c r="D270" s="10" t="str">
        <x:v>requires</x:v>
      </x:c>
      <x:c r="E270" s="10" t="str">
        <x:v>yes</x:v>
      </x:c>
      <x:c r="F270" s="10" t="str">
        <x:v>done</x:v>
      </x:c>
      <x:c r="G270" s="10" t="str">
        <x:v>All listed conditions apply unless an accepted ADR states otherwise.</x:v>
      </x:c>
      <x:c r="H270" s="10" t="str">
        <x:v>ELTS Build Plan P6.11</x:v>
      </x:c>
      <x:c r="I270" s="10" t="str"/>
    </x:row>
    <x:row r="271">
      <x:c r="A271" s="34" t="str">
        <x:v>DEP-0266</x:v>
      </x:c>
      <x:c r="B271" s="34" t="str">
        <x:v>P6.8</x:v>
      </x:c>
      <x:c r="C271" s="34" t="str">
        <x:v>P6.11</x:v>
      </x:c>
      <x:c r="D271" s="34" t="str">
        <x:v>requires</x:v>
      </x:c>
      <x:c r="E271" s="34" t="str">
        <x:v>yes</x:v>
      </x:c>
      <x:c r="F271" s="34" t="str">
        <x:v>done</x:v>
      </x:c>
      <x:c r="G271" s="34" t="str">
        <x:v>All listed conditions apply unless an accepted ADR states otherwise.</x:v>
      </x:c>
      <x:c r="H271" s="34" t="str">
        <x:v>ELTS Build Plan P6.11</x:v>
      </x:c>
      <x:c r="I271" s="34" t="str"/>
    </x:row>
    <x:row r="272">
      <x:c r="A272" s="10" t="str">
        <x:v>DEP-0267</x:v>
      </x:c>
      <x:c r="B272" s="10" t="str">
        <x:v>P6.9</x:v>
      </x:c>
      <x:c r="C272" s="10" t="str">
        <x:v>P6.11</x:v>
      </x:c>
      <x:c r="D272" s="10" t="str">
        <x:v>requires</x:v>
      </x:c>
      <x:c r="E272" s="10" t="str">
        <x:v>yes</x:v>
      </x:c>
      <x:c r="F272" s="10" t="str">
        <x:v>done</x:v>
      </x:c>
      <x:c r="G272" s="10" t="str">
        <x:v>All listed conditions apply unless an accepted ADR states otherwise.</x:v>
      </x:c>
      <x:c r="H272" s="10" t="str">
        <x:v>ELTS Build Plan P6.11</x:v>
      </x:c>
      <x:c r="I272" s="10" t="str"/>
    </x:row>
    <x:row r="273">
      <x:c r="A273" s="34" t="str">
        <x:v>DEP-0268</x:v>
      </x:c>
      <x:c r="B273" s="34" t="str">
        <x:v>P6.10</x:v>
      </x:c>
      <x:c r="C273" s="34" t="str">
        <x:v>P6.11</x:v>
      </x:c>
      <x:c r="D273" s="34" t="str">
        <x:v>requires</x:v>
      </x:c>
      <x:c r="E273" s="34" t="str">
        <x:v>yes</x:v>
      </x:c>
      <x:c r="F273" s="34" t="str">
        <x:v>done</x:v>
      </x:c>
      <x:c r="G273" s="34" t="str">
        <x:v>All listed conditions apply unless an accepted ADR states otherwise.</x:v>
      </x:c>
      <x:c r="H273" s="34" t="str">
        <x:v>ELTS Build Plan P6.11</x:v>
      </x:c>
      <x:c r="I273" s="34" t="str"/>
    </x:row>
    <x:row r="274">
      <x:c r="A274" s="10" t="str">
        <x:v>DEP-0269</x:v>
      </x:c>
      <x:c r="B274" s="10" t="str">
        <x:v>G4</x:v>
      </x:c>
      <x:c r="C274" s="10" t="str">
        <x:v>P6.12</x:v>
      </x:c>
      <x:c r="D274" s="10" t="str">
        <x:v>unlocks</x:v>
      </x:c>
      <x:c r="E274" s="10" t="str">
        <x:v>yes</x:v>
      </x:c>
      <x:c r="F274" s="10" t="str">
        <x:v>passed</x:v>
      </x:c>
      <x:c r="G274" s="10" t="str">
        <x:v>All listed conditions apply unless an accepted ADR states otherwise.</x:v>
      </x:c>
      <x:c r="H274" s="10" t="str">
        <x:v>ELTS Build Plan P6.12</x:v>
      </x:c>
      <x:c r="I274" s="10" t="str"/>
    </x:row>
    <x:row r="275">
      <x:c r="A275" s="34" t="str">
        <x:v>DEP-0270</x:v>
      </x:c>
      <x:c r="B275" s="34" t="str">
        <x:v>D-03</x:v>
      </x:c>
      <x:c r="C275" s="34" t="str">
        <x:v>P6.12</x:v>
      </x:c>
      <x:c r="D275" s="34" t="str">
        <x:v>blocks</x:v>
      </x:c>
      <x:c r="E275" s="34" t="str">
        <x:v>yes</x:v>
      </x:c>
      <x:c r="F275" s="34" t="str">
        <x:v>decided</x:v>
      </x:c>
      <x:c r="G275" s="34" t="str">
        <x:v>All listed conditions apply unless an accepted ADR states otherwise.</x:v>
      </x:c>
      <x:c r="H275" s="34" t="str">
        <x:v>ELTS Build Plan P6.12</x:v>
      </x:c>
      <x:c r="I275" s="34" t="str"/>
    </x:row>
    <x:row r="276">
      <x:c r="A276" s="10" t="str">
        <x:v>DEP-0271</x:v>
      </x:c>
      <x:c r="B276" s="10" t="str">
        <x:v>D-10</x:v>
      </x:c>
      <x:c r="C276" s="10" t="str">
        <x:v>P6.12</x:v>
      </x:c>
      <x:c r="D276" s="10" t="str">
        <x:v>blocks</x:v>
      </x:c>
      <x:c r="E276" s="10" t="str">
        <x:v>yes</x:v>
      </x:c>
      <x:c r="F276" s="10" t="str">
        <x:v>decided</x:v>
      </x:c>
      <x:c r="G276" s="10" t="str">
        <x:v>All listed conditions apply unless an accepted ADR states otherwise.</x:v>
      </x:c>
      <x:c r="H276" s="10" t="str">
        <x:v>ELTS Build Plan P6.12</x:v>
      </x:c>
      <x:c r="I276" s="10" t="str"/>
    </x:row>
    <x:row r="277">
      <x:c r="A277" s="34" t="str">
        <x:v>DEP-0272</x:v>
      </x:c>
      <x:c r="B277" s="34" t="str">
        <x:v>P6.8</x:v>
      </x:c>
      <x:c r="C277" s="34" t="str">
        <x:v>P6.12</x:v>
      </x:c>
      <x:c r="D277" s="34" t="str">
        <x:v>requires</x:v>
      </x:c>
      <x:c r="E277" s="34" t="str">
        <x:v>yes</x:v>
      </x:c>
      <x:c r="F277" s="34" t="str">
        <x:v>done</x:v>
      </x:c>
      <x:c r="G277" s="34" t="str">
        <x:v>All listed conditions apply unless an accepted ADR states otherwise.</x:v>
      </x:c>
      <x:c r="H277" s="34" t="str">
        <x:v>ELTS Build Plan P6.12</x:v>
      </x:c>
      <x:c r="I277" s="34" t="str"/>
    </x:row>
    <x:row r="278">
      <x:c r="A278" s="10" t="str">
        <x:v>DEP-0273</x:v>
      </x:c>
      <x:c r="B278" s="10" t="str">
        <x:v>G4</x:v>
      </x:c>
      <x:c r="C278" s="10" t="str">
        <x:v>P6.13</x:v>
      </x:c>
      <x:c r="D278" s="10" t="str">
        <x:v>unlocks</x:v>
      </x:c>
      <x:c r="E278" s="10" t="str">
        <x:v>yes</x:v>
      </x:c>
      <x:c r="F278" s="10" t="str">
        <x:v>passed</x:v>
      </x:c>
      <x:c r="G278" s="10" t="str">
        <x:v>All listed conditions apply unless an accepted ADR states otherwise.</x:v>
      </x:c>
      <x:c r="H278" s="10" t="str">
        <x:v>ELTS Build Plan P6.13</x:v>
      </x:c>
      <x:c r="I278" s="10" t="str"/>
    </x:row>
    <x:row r="279">
      <x:c r="A279" s="34" t="str">
        <x:v>DEP-0274</x:v>
      </x:c>
      <x:c r="B279" s="34" t="str">
        <x:v>D-03</x:v>
      </x:c>
      <x:c r="C279" s="34" t="str">
        <x:v>P6.13</x:v>
      </x:c>
      <x:c r="D279" s="34" t="str">
        <x:v>blocks</x:v>
      </x:c>
      <x:c r="E279" s="34" t="str">
        <x:v>yes</x:v>
      </x:c>
      <x:c r="F279" s="34" t="str">
        <x:v>decided</x:v>
      </x:c>
      <x:c r="G279" s="34" t="str">
        <x:v>All listed conditions apply unless an accepted ADR states otherwise.</x:v>
      </x:c>
      <x:c r="H279" s="34" t="str">
        <x:v>ELTS Build Plan P6.13</x:v>
      </x:c>
      <x:c r="I279" s="34" t="str"/>
    </x:row>
    <x:row r="280">
      <x:c r="A280" s="10" t="str">
        <x:v>DEP-0275</x:v>
      </x:c>
      <x:c r="B280" s="10" t="str">
        <x:v>D-10</x:v>
      </x:c>
      <x:c r="C280" s="10" t="str">
        <x:v>P6.13</x:v>
      </x:c>
      <x:c r="D280" s="10" t="str">
        <x:v>blocks</x:v>
      </x:c>
      <x:c r="E280" s="10" t="str">
        <x:v>yes</x:v>
      </x:c>
      <x:c r="F280" s="10" t="str">
        <x:v>decided</x:v>
      </x:c>
      <x:c r="G280" s="10" t="str">
        <x:v>All listed conditions apply unless an accepted ADR states otherwise.</x:v>
      </x:c>
      <x:c r="H280" s="10" t="str">
        <x:v>ELTS Build Plan P6.13</x:v>
      </x:c>
      <x:c r="I280" s="10" t="str"/>
    </x:row>
    <x:row r="281">
      <x:c r="A281" s="34" t="str">
        <x:v>DEP-0276</x:v>
      </x:c>
      <x:c r="B281" s="34" t="str">
        <x:v>P6.5</x:v>
      </x:c>
      <x:c r="C281" s="34" t="str">
        <x:v>P6.13</x:v>
      </x:c>
      <x:c r="D281" s="34" t="str">
        <x:v>requires</x:v>
      </x:c>
      <x:c r="E281" s="34" t="str">
        <x:v>yes</x:v>
      </x:c>
      <x:c r="F281" s="34" t="str">
        <x:v>done</x:v>
      </x:c>
      <x:c r="G281" s="34" t="str">
        <x:v>All listed conditions apply unless an accepted ADR states otherwise.</x:v>
      </x:c>
      <x:c r="H281" s="34" t="str">
        <x:v>ELTS Build Plan P6.13</x:v>
      </x:c>
      <x:c r="I281" s="34" t="str"/>
    </x:row>
    <x:row r="282">
      <x:c r="A282" s="10" t="str">
        <x:v>DEP-0277</x:v>
      </x:c>
      <x:c r="B282" s="10" t="str">
        <x:v>P6.7</x:v>
      </x:c>
      <x:c r="C282" s="10" t="str">
        <x:v>P6.13</x:v>
      </x:c>
      <x:c r="D282" s="10" t="str">
        <x:v>requires</x:v>
      </x:c>
      <x:c r="E282" s="10" t="str">
        <x:v>yes</x:v>
      </x:c>
      <x:c r="F282" s="10" t="str">
        <x:v>done</x:v>
      </x:c>
      <x:c r="G282" s="10" t="str">
        <x:v>All listed conditions apply unless an accepted ADR states otherwise.</x:v>
      </x:c>
      <x:c r="H282" s="10" t="str">
        <x:v>ELTS Build Plan P6.13</x:v>
      </x:c>
      <x:c r="I282" s="10" t="str"/>
    </x:row>
    <x:row r="283">
      <x:c r="A283" s="34" t="str">
        <x:v>DEP-0278</x:v>
      </x:c>
      <x:c r="B283" s="34" t="str">
        <x:v>G5</x:v>
      </x:c>
      <x:c r="C283" s="34" t="str">
        <x:v>P7.1</x:v>
      </x:c>
      <x:c r="D283" s="34" t="str">
        <x:v>unlocks</x:v>
      </x:c>
      <x:c r="E283" s="34" t="str">
        <x:v>yes</x:v>
      </x:c>
      <x:c r="F283" s="34" t="str">
        <x:v>passed</x:v>
      </x:c>
      <x:c r="G283" s="34" t="str">
        <x:v>All listed conditions apply unless an accepted ADR states otherwise.</x:v>
      </x:c>
      <x:c r="H283" s="34" t="str">
        <x:v>ELTS Build Plan P7.1</x:v>
      </x:c>
      <x:c r="I283" s="34" t="str"/>
    </x:row>
    <x:row r="284">
      <x:c r="A284" s="10" t="str">
        <x:v>DEP-0279</x:v>
      </x:c>
      <x:c r="B284" s="10" t="str">
        <x:v>G6</x:v>
      </x:c>
      <x:c r="C284" s="10" t="str">
        <x:v>P7.1</x:v>
      </x:c>
      <x:c r="D284" s="10" t="str">
        <x:v>unlocks</x:v>
      </x:c>
      <x:c r="E284" s="10" t="str">
        <x:v>yes</x:v>
      </x:c>
      <x:c r="F284" s="10" t="str">
        <x:v>passed</x:v>
      </x:c>
      <x:c r="G284" s="10" t="str">
        <x:v>All listed conditions apply unless an accepted ADR states otherwise.</x:v>
      </x:c>
      <x:c r="H284" s="10" t="str">
        <x:v>ELTS Build Plan P7.1</x:v>
      </x:c>
      <x:c r="I284" s="10" t="str"/>
    </x:row>
    <x:row r="285">
      <x:c r="A285" s="34" t="str">
        <x:v>DEP-0280</x:v>
      </x:c>
      <x:c r="B285" s="34" t="str">
        <x:v>D-01</x:v>
      </x:c>
      <x:c r="C285" s="34" t="str">
        <x:v>P7.1</x:v>
      </x:c>
      <x:c r="D285" s="34" t="str">
        <x:v>blocks</x:v>
      </x:c>
      <x:c r="E285" s="34" t="str">
        <x:v>yes</x:v>
      </x:c>
      <x:c r="F285" s="34" t="str">
        <x:v>decided</x:v>
      </x:c>
      <x:c r="G285" s="34" t="str">
        <x:v>All listed conditions apply unless an accepted ADR states otherwise.</x:v>
      </x:c>
      <x:c r="H285" s="34" t="str">
        <x:v>ELTS Build Plan P7.1</x:v>
      </x:c>
      <x:c r="I285" s="34" t="str"/>
    </x:row>
    <x:row r="286">
      <x:c r="A286" s="10" t="str">
        <x:v>DEP-0281</x:v>
      </x:c>
      <x:c r="B286" s="10" t="str">
        <x:v>D-02</x:v>
      </x:c>
      <x:c r="C286" s="10" t="str">
        <x:v>P7.1</x:v>
      </x:c>
      <x:c r="D286" s="10" t="str">
        <x:v>blocks</x:v>
      </x:c>
      <x:c r="E286" s="10" t="str">
        <x:v>yes</x:v>
      </x:c>
      <x:c r="F286" s="10" t="str">
        <x:v>decided</x:v>
      </x:c>
      <x:c r="G286" s="10" t="str">
        <x:v>All listed conditions apply unless an accepted ADR states otherwise.</x:v>
      </x:c>
      <x:c r="H286" s="10" t="str">
        <x:v>ELTS Build Plan P7.1</x:v>
      </x:c>
      <x:c r="I286" s="10" t="str"/>
    </x:row>
    <x:row r="287">
      <x:c r="A287" s="34" t="str">
        <x:v>DEP-0282</x:v>
      </x:c>
      <x:c r="B287" s="34" t="str">
        <x:v>G5</x:v>
      </x:c>
      <x:c r="C287" s="34" t="str">
        <x:v>P7.2</x:v>
      </x:c>
      <x:c r="D287" s="34" t="str">
        <x:v>unlocks</x:v>
      </x:c>
      <x:c r="E287" s="34" t="str">
        <x:v>yes</x:v>
      </x:c>
      <x:c r="F287" s="34" t="str">
        <x:v>passed</x:v>
      </x:c>
      <x:c r="G287" s="34" t="str">
        <x:v>All listed conditions apply unless an accepted ADR states otherwise.</x:v>
      </x:c>
      <x:c r="H287" s="34" t="str">
        <x:v>ELTS Build Plan P7.2</x:v>
      </x:c>
      <x:c r="I287" s="34" t="str"/>
    </x:row>
    <x:row r="288">
      <x:c r="A288" s="10" t="str">
        <x:v>DEP-0283</x:v>
      </x:c>
      <x:c r="B288" s="10" t="str">
        <x:v>G6</x:v>
      </x:c>
      <x:c r="C288" s="10" t="str">
        <x:v>P7.2</x:v>
      </x:c>
      <x:c r="D288" s="10" t="str">
        <x:v>unlocks</x:v>
      </x:c>
      <x:c r="E288" s="10" t="str">
        <x:v>yes</x:v>
      </x:c>
      <x:c r="F288" s="10" t="str">
        <x:v>passed</x:v>
      </x:c>
      <x:c r="G288" s="10" t="str">
        <x:v>All listed conditions apply unless an accepted ADR states otherwise.</x:v>
      </x:c>
      <x:c r="H288" s="10" t="str">
        <x:v>ELTS Build Plan P7.2</x:v>
      </x:c>
      <x:c r="I288" s="10" t="str"/>
    </x:row>
    <x:row r="289">
      <x:c r="A289" s="34" t="str">
        <x:v>DEP-0284</x:v>
      </x:c>
      <x:c r="B289" s="34" t="str">
        <x:v>D-01</x:v>
      </x:c>
      <x:c r="C289" s="34" t="str">
        <x:v>P7.2</x:v>
      </x:c>
      <x:c r="D289" s="34" t="str">
        <x:v>blocks</x:v>
      </x:c>
      <x:c r="E289" s="34" t="str">
        <x:v>yes</x:v>
      </x:c>
      <x:c r="F289" s="34" t="str">
        <x:v>decided</x:v>
      </x:c>
      <x:c r="G289" s="34" t="str">
        <x:v>All listed conditions apply unless an accepted ADR states otherwise.</x:v>
      </x:c>
      <x:c r="H289" s="34" t="str">
        <x:v>ELTS Build Plan P7.2</x:v>
      </x:c>
      <x:c r="I289" s="34" t="str"/>
    </x:row>
    <x:row r="290">
      <x:c r="A290" s="10" t="str">
        <x:v>DEP-0285</x:v>
      </x:c>
      <x:c r="B290" s="10" t="str">
        <x:v>D-02</x:v>
      </x:c>
      <x:c r="C290" s="10" t="str">
        <x:v>P7.2</x:v>
      </x:c>
      <x:c r="D290" s="10" t="str">
        <x:v>blocks</x:v>
      </x:c>
      <x:c r="E290" s="10" t="str">
        <x:v>yes</x:v>
      </x:c>
      <x:c r="F290" s="10" t="str">
        <x:v>decided</x:v>
      </x:c>
      <x:c r="G290" s="10" t="str">
        <x:v>All listed conditions apply unless an accepted ADR states otherwise.</x:v>
      </x:c>
      <x:c r="H290" s="10" t="str">
        <x:v>ELTS Build Plan P7.2</x:v>
      </x:c>
      <x:c r="I290" s="10" t="str"/>
    </x:row>
    <x:row r="291">
      <x:c r="A291" s="34" t="str">
        <x:v>DEP-0286</x:v>
      </x:c>
      <x:c r="B291" s="34" t="str">
        <x:v>P7.1</x:v>
      </x:c>
      <x:c r="C291" s="34" t="str">
        <x:v>P7.2</x:v>
      </x:c>
      <x:c r="D291" s="34" t="str">
        <x:v>requires</x:v>
      </x:c>
      <x:c r="E291" s="34" t="str">
        <x:v>yes</x:v>
      </x:c>
      <x:c r="F291" s="34" t="str">
        <x:v>done</x:v>
      </x:c>
      <x:c r="G291" s="34" t="str">
        <x:v>All listed conditions apply unless an accepted ADR states otherwise.</x:v>
      </x:c>
      <x:c r="H291" s="34" t="str">
        <x:v>ELTS Build Plan P7.2</x:v>
      </x:c>
      <x:c r="I291" s="34" t="str"/>
    </x:row>
    <x:row r="292">
      <x:c r="A292" s="10" t="str">
        <x:v>DEP-0287</x:v>
      </x:c>
      <x:c r="B292" s="10" t="str">
        <x:v>G5</x:v>
      </x:c>
      <x:c r="C292" s="10" t="str">
        <x:v>P7.3</x:v>
      </x:c>
      <x:c r="D292" s="10" t="str">
        <x:v>unlocks</x:v>
      </x:c>
      <x:c r="E292" s="10" t="str">
        <x:v>yes</x:v>
      </x:c>
      <x:c r="F292" s="10" t="str">
        <x:v>passed</x:v>
      </x:c>
      <x:c r="G292" s="10" t="str">
        <x:v>All listed conditions apply unless an accepted ADR states otherwise.</x:v>
      </x:c>
      <x:c r="H292" s="10" t="str">
        <x:v>ELTS Build Plan P7.3</x:v>
      </x:c>
      <x:c r="I292" s="10" t="str"/>
    </x:row>
    <x:row r="293">
      <x:c r="A293" s="34" t="str">
        <x:v>DEP-0288</x:v>
      </x:c>
      <x:c r="B293" s="34" t="str">
        <x:v>G6</x:v>
      </x:c>
      <x:c r="C293" s="34" t="str">
        <x:v>P7.3</x:v>
      </x:c>
      <x:c r="D293" s="34" t="str">
        <x:v>unlocks</x:v>
      </x:c>
      <x:c r="E293" s="34" t="str">
        <x:v>yes</x:v>
      </x:c>
      <x:c r="F293" s="34" t="str">
        <x:v>passed</x:v>
      </x:c>
      <x:c r="G293" s="34" t="str">
        <x:v>All listed conditions apply unless an accepted ADR states otherwise.</x:v>
      </x:c>
      <x:c r="H293" s="34" t="str">
        <x:v>ELTS Build Plan P7.3</x:v>
      </x:c>
      <x:c r="I293" s="34" t="str"/>
    </x:row>
    <x:row r="294">
      <x:c r="A294" s="10" t="str">
        <x:v>DEP-0289</x:v>
      </x:c>
      <x:c r="B294" s="10" t="str">
        <x:v>D-01</x:v>
      </x:c>
      <x:c r="C294" s="10" t="str">
        <x:v>P7.3</x:v>
      </x:c>
      <x:c r="D294" s="10" t="str">
        <x:v>blocks</x:v>
      </x:c>
      <x:c r="E294" s="10" t="str">
        <x:v>yes</x:v>
      </x:c>
      <x:c r="F294" s="10" t="str">
        <x:v>decided</x:v>
      </x:c>
      <x:c r="G294" s="10" t="str">
        <x:v>All listed conditions apply unless an accepted ADR states otherwise.</x:v>
      </x:c>
      <x:c r="H294" s="10" t="str">
        <x:v>ELTS Build Plan P7.3</x:v>
      </x:c>
      <x:c r="I294" s="10" t="str"/>
    </x:row>
    <x:row r="295">
      <x:c r="A295" s="34" t="str">
        <x:v>DEP-0290</x:v>
      </x:c>
      <x:c r="B295" s="34" t="str">
        <x:v>D-02</x:v>
      </x:c>
      <x:c r="C295" s="34" t="str">
        <x:v>P7.3</x:v>
      </x:c>
      <x:c r="D295" s="34" t="str">
        <x:v>blocks</x:v>
      </x:c>
      <x:c r="E295" s="34" t="str">
        <x:v>yes</x:v>
      </x:c>
      <x:c r="F295" s="34" t="str">
        <x:v>decided</x:v>
      </x:c>
      <x:c r="G295" s="34" t="str">
        <x:v>All listed conditions apply unless an accepted ADR states otherwise.</x:v>
      </x:c>
      <x:c r="H295" s="34" t="str">
        <x:v>ELTS Build Plan P7.3</x:v>
      </x:c>
      <x:c r="I295" s="34" t="str"/>
    </x:row>
    <x:row r="296">
      <x:c r="A296" s="10" t="str">
        <x:v>DEP-0291</x:v>
      </x:c>
      <x:c r="B296" s="10" t="str">
        <x:v>P7.1</x:v>
      </x:c>
      <x:c r="C296" s="10" t="str">
        <x:v>P7.3</x:v>
      </x:c>
      <x:c r="D296" s="10" t="str">
        <x:v>requires</x:v>
      </x:c>
      <x:c r="E296" s="10" t="str">
        <x:v>yes</x:v>
      </x:c>
      <x:c r="F296" s="10" t="str">
        <x:v>done</x:v>
      </x:c>
      <x:c r="G296" s="10" t="str">
        <x:v>All listed conditions apply unless an accepted ADR states otherwise.</x:v>
      </x:c>
      <x:c r="H296" s="10" t="str">
        <x:v>ELTS Build Plan P7.3</x:v>
      </x:c>
      <x:c r="I296" s="10" t="str"/>
    </x:row>
    <x:row r="297">
      <x:c r="A297" s="34" t="str">
        <x:v>DEP-0292</x:v>
      </x:c>
      <x:c r="B297" s="34" t="str">
        <x:v>D-11</x:v>
      </x:c>
      <x:c r="C297" s="34" t="str">
        <x:v>P7.3</x:v>
      </x:c>
      <x:c r="D297" s="34" t="str">
        <x:v>blocks</x:v>
      </x:c>
      <x:c r="E297" s="34" t="str">
        <x:v>yes</x:v>
      </x:c>
      <x:c r="F297" s="34" t="str">
        <x:v>decided</x:v>
      </x:c>
      <x:c r="G297" s="34" t="str">
        <x:v>All listed conditions apply unless an accepted ADR states otherwise.</x:v>
      </x:c>
      <x:c r="H297" s="34" t="str">
        <x:v>ELTS Build Plan P7.3</x:v>
      </x:c>
      <x:c r="I297" s="34" t="str"/>
    </x:row>
    <x:row r="298">
      <x:c r="A298" s="10" t="str">
        <x:v>DEP-0293</x:v>
      </x:c>
      <x:c r="B298" s="10" t="str">
        <x:v>D-17</x:v>
      </x:c>
      <x:c r="C298" s="10" t="str">
        <x:v>P7.3</x:v>
      </x:c>
      <x:c r="D298" s="10" t="str">
        <x:v>blocks</x:v>
      </x:c>
      <x:c r="E298" s="10" t="str">
        <x:v>yes</x:v>
      </x:c>
      <x:c r="F298" s="10" t="str">
        <x:v>decided</x:v>
      </x:c>
      <x:c r="G298" s="10" t="str">
        <x:v>All listed conditions apply unless an accepted ADR states otherwise.</x:v>
      </x:c>
      <x:c r="H298" s="10" t="str">
        <x:v>ELTS Build Plan P7.3</x:v>
      </x:c>
      <x:c r="I298" s="10" t="str"/>
    </x:row>
    <x:row r="299">
      <x:c r="A299" s="34" t="str">
        <x:v>DEP-0294</x:v>
      </x:c>
      <x:c r="B299" s="34" t="str">
        <x:v>G5</x:v>
      </x:c>
      <x:c r="C299" s="34" t="str">
        <x:v>P7.4</x:v>
      </x:c>
      <x:c r="D299" s="34" t="str">
        <x:v>unlocks</x:v>
      </x:c>
      <x:c r="E299" s="34" t="str">
        <x:v>yes</x:v>
      </x:c>
      <x:c r="F299" s="34" t="str">
        <x:v>passed</x:v>
      </x:c>
      <x:c r="G299" s="34" t="str">
        <x:v>All listed conditions apply unless an accepted ADR states otherwise.</x:v>
      </x:c>
      <x:c r="H299" s="34" t="str">
        <x:v>ELTS Build Plan P7.4</x:v>
      </x:c>
      <x:c r="I299" s="34" t="str"/>
    </x:row>
    <x:row r="300">
      <x:c r="A300" s="10" t="str">
        <x:v>DEP-0295</x:v>
      </x:c>
      <x:c r="B300" s="10" t="str">
        <x:v>G6</x:v>
      </x:c>
      <x:c r="C300" s="10" t="str">
        <x:v>P7.4</x:v>
      </x:c>
      <x:c r="D300" s="10" t="str">
        <x:v>unlocks</x:v>
      </x:c>
      <x:c r="E300" s="10" t="str">
        <x:v>yes</x:v>
      </x:c>
      <x:c r="F300" s="10" t="str">
        <x:v>passed</x:v>
      </x:c>
      <x:c r="G300" s="10" t="str">
        <x:v>All listed conditions apply unless an accepted ADR states otherwise.</x:v>
      </x:c>
      <x:c r="H300" s="10" t="str">
        <x:v>ELTS Build Plan P7.4</x:v>
      </x:c>
      <x:c r="I300" s="10" t="str"/>
    </x:row>
    <x:row r="301">
      <x:c r="A301" s="34" t="str">
        <x:v>DEP-0296</x:v>
      </x:c>
      <x:c r="B301" s="34" t="str">
        <x:v>D-01</x:v>
      </x:c>
      <x:c r="C301" s="34" t="str">
        <x:v>P7.4</x:v>
      </x:c>
      <x:c r="D301" s="34" t="str">
        <x:v>blocks</x:v>
      </x:c>
      <x:c r="E301" s="34" t="str">
        <x:v>yes</x:v>
      </x:c>
      <x:c r="F301" s="34" t="str">
        <x:v>decided</x:v>
      </x:c>
      <x:c r="G301" s="34" t="str">
        <x:v>All listed conditions apply unless an accepted ADR states otherwise.</x:v>
      </x:c>
      <x:c r="H301" s="34" t="str">
        <x:v>ELTS Build Plan P7.4</x:v>
      </x:c>
      <x:c r="I301" s="34" t="str"/>
    </x:row>
    <x:row r="302">
      <x:c r="A302" s="10" t="str">
        <x:v>DEP-0297</x:v>
      </x:c>
      <x:c r="B302" s="10" t="str">
        <x:v>D-02</x:v>
      </x:c>
      <x:c r="C302" s="10" t="str">
        <x:v>P7.4</x:v>
      </x:c>
      <x:c r="D302" s="10" t="str">
        <x:v>blocks</x:v>
      </x:c>
      <x:c r="E302" s="10" t="str">
        <x:v>yes</x:v>
      </x:c>
      <x:c r="F302" s="10" t="str">
        <x:v>decided</x:v>
      </x:c>
      <x:c r="G302" s="10" t="str">
        <x:v>All listed conditions apply unless an accepted ADR states otherwise.</x:v>
      </x:c>
      <x:c r="H302" s="10" t="str">
        <x:v>ELTS Build Plan P7.4</x:v>
      </x:c>
      <x:c r="I302" s="10" t="str"/>
    </x:row>
    <x:row r="303">
      <x:c r="A303" s="34" t="str">
        <x:v>DEP-0298</x:v>
      </x:c>
      <x:c r="B303" s="34" t="str">
        <x:v>P7.1</x:v>
      </x:c>
      <x:c r="C303" s="34" t="str">
        <x:v>P7.4</x:v>
      </x:c>
      <x:c r="D303" s="34" t="str">
        <x:v>requires</x:v>
      </x:c>
      <x:c r="E303" s="34" t="str">
        <x:v>yes</x:v>
      </x:c>
      <x:c r="F303" s="34" t="str">
        <x:v>done</x:v>
      </x:c>
      <x:c r="G303" s="34" t="str">
        <x:v>All listed conditions apply unless an accepted ADR states otherwise.</x:v>
      </x:c>
      <x:c r="H303" s="34" t="str">
        <x:v>ELTS Build Plan P7.4</x:v>
      </x:c>
      <x:c r="I303" s="34" t="str"/>
    </x:row>
    <x:row r="304">
      <x:c r="A304" s="10" t="str">
        <x:v>DEP-0299</x:v>
      </x:c>
      <x:c r="B304" s="10" t="str">
        <x:v>G5</x:v>
      </x:c>
      <x:c r="C304" s="10" t="str">
        <x:v>P7.5</x:v>
      </x:c>
      <x:c r="D304" s="10" t="str">
        <x:v>unlocks</x:v>
      </x:c>
      <x:c r="E304" s="10" t="str">
        <x:v>yes</x:v>
      </x:c>
      <x:c r="F304" s="10" t="str">
        <x:v>passed</x:v>
      </x:c>
      <x:c r="G304" s="10" t="str">
        <x:v>All listed conditions apply unless an accepted ADR states otherwise.</x:v>
      </x:c>
      <x:c r="H304" s="10" t="str">
        <x:v>ELTS Build Plan P7.5</x:v>
      </x:c>
      <x:c r="I304" s="10" t="str"/>
    </x:row>
    <x:row r="305">
      <x:c r="A305" s="34" t="str">
        <x:v>DEP-0300</x:v>
      </x:c>
      <x:c r="B305" s="34" t="str">
        <x:v>G6</x:v>
      </x:c>
      <x:c r="C305" s="34" t="str">
        <x:v>P7.5</x:v>
      </x:c>
      <x:c r="D305" s="34" t="str">
        <x:v>unlocks</x:v>
      </x:c>
      <x:c r="E305" s="34" t="str">
        <x:v>yes</x:v>
      </x:c>
      <x:c r="F305" s="34" t="str">
        <x:v>passed</x:v>
      </x:c>
      <x:c r="G305" s="34" t="str">
        <x:v>All listed conditions apply unless an accepted ADR states otherwise.</x:v>
      </x:c>
      <x:c r="H305" s="34" t="str">
        <x:v>ELTS Build Plan P7.5</x:v>
      </x:c>
      <x:c r="I305" s="34" t="str"/>
    </x:row>
    <x:row r="306">
      <x:c r="A306" s="10" t="str">
        <x:v>DEP-0301</x:v>
      </x:c>
      <x:c r="B306" s="10" t="str">
        <x:v>D-01</x:v>
      </x:c>
      <x:c r="C306" s="10" t="str">
        <x:v>P7.5</x:v>
      </x:c>
      <x:c r="D306" s="10" t="str">
        <x:v>blocks</x:v>
      </x:c>
      <x:c r="E306" s="10" t="str">
        <x:v>yes</x:v>
      </x:c>
      <x:c r="F306" s="10" t="str">
        <x:v>decided</x:v>
      </x:c>
      <x:c r="G306" s="10" t="str">
        <x:v>All listed conditions apply unless an accepted ADR states otherwise.</x:v>
      </x:c>
      <x:c r="H306" s="10" t="str">
        <x:v>ELTS Build Plan P7.5</x:v>
      </x:c>
      <x:c r="I306" s="10" t="str"/>
    </x:row>
    <x:row r="307">
      <x:c r="A307" s="34" t="str">
        <x:v>DEP-0302</x:v>
      </x:c>
      <x:c r="B307" s="34" t="str">
        <x:v>D-02</x:v>
      </x:c>
      <x:c r="C307" s="34" t="str">
        <x:v>P7.5</x:v>
      </x:c>
      <x:c r="D307" s="34" t="str">
        <x:v>blocks</x:v>
      </x:c>
      <x:c r="E307" s="34" t="str">
        <x:v>yes</x:v>
      </x:c>
      <x:c r="F307" s="34" t="str">
        <x:v>decided</x:v>
      </x:c>
      <x:c r="G307" s="34" t="str">
        <x:v>All listed conditions apply unless an accepted ADR states otherwise.</x:v>
      </x:c>
      <x:c r="H307" s="34" t="str">
        <x:v>ELTS Build Plan P7.5</x:v>
      </x:c>
      <x:c r="I307" s="34" t="str"/>
    </x:row>
    <x:row r="308">
      <x:c r="A308" s="10" t="str">
        <x:v>DEP-0303</x:v>
      </x:c>
      <x:c r="B308" s="10" t="str">
        <x:v>P7.1</x:v>
      </x:c>
      <x:c r="C308" s="10" t="str">
        <x:v>P7.5</x:v>
      </x:c>
      <x:c r="D308" s="10" t="str">
        <x:v>requires</x:v>
      </x:c>
      <x:c r="E308" s="10" t="str">
        <x:v>yes</x:v>
      </x:c>
      <x:c r="F308" s="10" t="str">
        <x:v>done</x:v>
      </x:c>
      <x:c r="G308" s="10" t="str">
        <x:v>All listed conditions apply unless an accepted ADR states otherwise.</x:v>
      </x:c>
      <x:c r="H308" s="10" t="str">
        <x:v>ELTS Build Plan P7.5</x:v>
      </x:c>
      <x:c r="I308" s="10" t="str"/>
    </x:row>
    <x:row r="309">
      <x:c r="A309" s="34" t="str">
        <x:v>DEP-0304</x:v>
      </x:c>
      <x:c r="B309" s="34" t="str">
        <x:v>G5</x:v>
      </x:c>
      <x:c r="C309" s="34" t="str">
        <x:v>P7.6</x:v>
      </x:c>
      <x:c r="D309" s="34" t="str">
        <x:v>unlocks</x:v>
      </x:c>
      <x:c r="E309" s="34" t="str">
        <x:v>yes</x:v>
      </x:c>
      <x:c r="F309" s="34" t="str">
        <x:v>passed</x:v>
      </x:c>
      <x:c r="G309" s="34" t="str">
        <x:v>All listed conditions apply unless an accepted ADR states otherwise.</x:v>
      </x:c>
      <x:c r="H309" s="34" t="str">
        <x:v>ELTS Build Plan P7.6</x:v>
      </x:c>
      <x:c r="I309" s="34" t="str"/>
    </x:row>
    <x:row r="310">
      <x:c r="A310" s="10" t="str">
        <x:v>DEP-0305</x:v>
      </x:c>
      <x:c r="B310" s="10" t="str">
        <x:v>G6</x:v>
      </x:c>
      <x:c r="C310" s="10" t="str">
        <x:v>P7.6</x:v>
      </x:c>
      <x:c r="D310" s="10" t="str">
        <x:v>unlocks</x:v>
      </x:c>
      <x:c r="E310" s="10" t="str">
        <x:v>yes</x:v>
      </x:c>
      <x:c r="F310" s="10" t="str">
        <x:v>passed</x:v>
      </x:c>
      <x:c r="G310" s="10" t="str">
        <x:v>All listed conditions apply unless an accepted ADR states otherwise.</x:v>
      </x:c>
      <x:c r="H310" s="10" t="str">
        <x:v>ELTS Build Plan P7.6</x:v>
      </x:c>
      <x:c r="I310" s="10" t="str"/>
    </x:row>
    <x:row r="311">
      <x:c r="A311" s="34" t="str">
        <x:v>DEP-0306</x:v>
      </x:c>
      <x:c r="B311" s="34" t="str">
        <x:v>D-01</x:v>
      </x:c>
      <x:c r="C311" s="34" t="str">
        <x:v>P7.6</x:v>
      </x:c>
      <x:c r="D311" s="34" t="str">
        <x:v>blocks</x:v>
      </x:c>
      <x:c r="E311" s="34" t="str">
        <x:v>yes</x:v>
      </x:c>
      <x:c r="F311" s="34" t="str">
        <x:v>decided</x:v>
      </x:c>
      <x:c r="G311" s="34" t="str">
        <x:v>All listed conditions apply unless an accepted ADR states otherwise.</x:v>
      </x:c>
      <x:c r="H311" s="34" t="str">
        <x:v>ELTS Build Plan P7.6</x:v>
      </x:c>
      <x:c r="I311" s="34" t="str"/>
    </x:row>
    <x:row r="312">
      <x:c r="A312" s="10" t="str">
        <x:v>DEP-0307</x:v>
      </x:c>
      <x:c r="B312" s="10" t="str">
        <x:v>D-02</x:v>
      </x:c>
      <x:c r="C312" s="10" t="str">
        <x:v>P7.6</x:v>
      </x:c>
      <x:c r="D312" s="10" t="str">
        <x:v>blocks</x:v>
      </x:c>
      <x:c r="E312" s="10" t="str">
        <x:v>yes</x:v>
      </x:c>
      <x:c r="F312" s="10" t="str">
        <x:v>decided</x:v>
      </x:c>
      <x:c r="G312" s="10" t="str">
        <x:v>All listed conditions apply unless an accepted ADR states otherwise.</x:v>
      </x:c>
      <x:c r="H312" s="10" t="str">
        <x:v>ELTS Build Plan P7.6</x:v>
      </x:c>
      <x:c r="I312" s="10" t="str"/>
    </x:row>
    <x:row r="313">
      <x:c r="A313" s="34" t="str">
        <x:v>DEP-0308</x:v>
      </x:c>
      <x:c r="B313" s="34" t="str">
        <x:v>P7.1</x:v>
      </x:c>
      <x:c r="C313" s="34" t="str">
        <x:v>P7.6</x:v>
      </x:c>
      <x:c r="D313" s="34" t="str">
        <x:v>requires</x:v>
      </x:c>
      <x:c r="E313" s="34" t="str">
        <x:v>yes</x:v>
      </x:c>
      <x:c r="F313" s="34" t="str">
        <x:v>done</x:v>
      </x:c>
      <x:c r="G313" s="34" t="str">
        <x:v>All listed conditions apply unless an accepted ADR states otherwise.</x:v>
      </x:c>
      <x:c r="H313" s="34" t="str">
        <x:v>ELTS Build Plan P7.6</x:v>
      </x:c>
      <x:c r="I313" s="34" t="str"/>
    </x:row>
    <x:row r="314">
      <x:c r="A314" s="10" t="str">
        <x:v>DEP-0309</x:v>
      </x:c>
      <x:c r="B314" s="10" t="str">
        <x:v>P7.2</x:v>
      </x:c>
      <x:c r="C314" s="10" t="str">
        <x:v>P7.6</x:v>
      </x:c>
      <x:c r="D314" s="10" t="str">
        <x:v>requires</x:v>
      </x:c>
      <x:c r="E314" s="10" t="str">
        <x:v>yes</x:v>
      </x:c>
      <x:c r="F314" s="10" t="str">
        <x:v>done</x:v>
      </x:c>
      <x:c r="G314" s="10" t="str">
        <x:v>All listed conditions apply unless an accepted ADR states otherwise.</x:v>
      </x:c>
      <x:c r="H314" s="10" t="str">
        <x:v>ELTS Build Plan P7.6</x:v>
      </x:c>
      <x:c r="I314" s="10" t="str"/>
    </x:row>
    <x:row r="315">
      <x:c r="A315" s="34" t="str">
        <x:v>DEP-0310</x:v>
      </x:c>
      <x:c r="B315" s="34" t="str">
        <x:v>P7.3</x:v>
      </x:c>
      <x:c r="C315" s="34" t="str">
        <x:v>P7.6</x:v>
      </x:c>
      <x:c r="D315" s="34" t="str">
        <x:v>requires</x:v>
      </x:c>
      <x:c r="E315" s="34" t="str">
        <x:v>yes</x:v>
      </x:c>
      <x:c r="F315" s="34" t="str">
        <x:v>done</x:v>
      </x:c>
      <x:c r="G315" s="34" t="str">
        <x:v>All listed conditions apply unless an accepted ADR states otherwise.</x:v>
      </x:c>
      <x:c r="H315" s="34" t="str">
        <x:v>ELTS Build Plan P7.6</x:v>
      </x:c>
      <x:c r="I315" s="34" t="str"/>
    </x:row>
    <x:row r="316">
      <x:c r="A316" s="10" t="str">
        <x:v>DEP-0311</x:v>
      </x:c>
      <x:c r="B316" s="10" t="str">
        <x:v>P7.4</x:v>
      </x:c>
      <x:c r="C316" s="10" t="str">
        <x:v>P7.6</x:v>
      </x:c>
      <x:c r="D316" s="10" t="str">
        <x:v>requires</x:v>
      </x:c>
      <x:c r="E316" s="10" t="str">
        <x:v>yes</x:v>
      </x:c>
      <x:c r="F316" s="10" t="str">
        <x:v>done</x:v>
      </x:c>
      <x:c r="G316" s="10" t="str">
        <x:v>All listed conditions apply unless an accepted ADR states otherwise.</x:v>
      </x:c>
      <x:c r="H316" s="10" t="str">
        <x:v>ELTS Build Plan P7.6</x:v>
      </x:c>
      <x:c r="I316" s="10" t="str"/>
    </x:row>
    <x:row r="317">
      <x:c r="A317" s="34" t="str">
        <x:v>DEP-0312</x:v>
      </x:c>
      <x:c r="B317" s="34" t="str">
        <x:v>P7.5</x:v>
      </x:c>
      <x:c r="C317" s="34" t="str">
        <x:v>P7.6</x:v>
      </x:c>
      <x:c r="D317" s="34" t="str">
        <x:v>requires</x:v>
      </x:c>
      <x:c r="E317" s="34" t="str">
        <x:v>yes</x:v>
      </x:c>
      <x:c r="F317" s="34" t="str">
        <x:v>done</x:v>
      </x:c>
      <x:c r="G317" s="34" t="str">
        <x:v>All listed conditions apply unless an accepted ADR states otherwise.</x:v>
      </x:c>
      <x:c r="H317" s="34" t="str">
        <x:v>ELTS Build Plan P7.6</x:v>
      </x:c>
      <x:c r="I317" s="34" t="str"/>
    </x:row>
    <x:row r="318">
      <x:c r="A318" s="10" t="str">
        <x:v>DEP-0313</x:v>
      </x:c>
      <x:c r="B318" s="10" t="str">
        <x:v>G5</x:v>
      </x:c>
      <x:c r="C318" s="10" t="str">
        <x:v>P7.7</x:v>
      </x:c>
      <x:c r="D318" s="10" t="str">
        <x:v>unlocks</x:v>
      </x:c>
      <x:c r="E318" s="10" t="str">
        <x:v>yes</x:v>
      </x:c>
      <x:c r="F318" s="10" t="str">
        <x:v>passed</x:v>
      </x:c>
      <x:c r="G318" s="10" t="str">
        <x:v>All listed conditions apply unless an accepted ADR states otherwise.</x:v>
      </x:c>
      <x:c r="H318" s="10" t="str">
        <x:v>ELTS Build Plan P7.7</x:v>
      </x:c>
      <x:c r="I318" s="10" t="str"/>
    </x:row>
    <x:row r="319">
      <x:c r="A319" s="34" t="str">
        <x:v>DEP-0314</x:v>
      </x:c>
      <x:c r="B319" s="34" t="str">
        <x:v>G6</x:v>
      </x:c>
      <x:c r="C319" s="34" t="str">
        <x:v>P7.7</x:v>
      </x:c>
      <x:c r="D319" s="34" t="str">
        <x:v>unlocks</x:v>
      </x:c>
      <x:c r="E319" s="34" t="str">
        <x:v>yes</x:v>
      </x:c>
      <x:c r="F319" s="34" t="str">
        <x:v>passed</x:v>
      </x:c>
      <x:c r="G319" s="34" t="str">
        <x:v>All listed conditions apply unless an accepted ADR states otherwise.</x:v>
      </x:c>
      <x:c r="H319" s="34" t="str">
        <x:v>ELTS Build Plan P7.7</x:v>
      </x:c>
      <x:c r="I319" s="34" t="str"/>
    </x:row>
    <x:row r="320">
      <x:c r="A320" s="10" t="str">
        <x:v>DEP-0315</x:v>
      </x:c>
      <x:c r="B320" s="10" t="str">
        <x:v>D-01</x:v>
      </x:c>
      <x:c r="C320" s="10" t="str">
        <x:v>P7.7</x:v>
      </x:c>
      <x:c r="D320" s="10" t="str">
        <x:v>blocks</x:v>
      </x:c>
      <x:c r="E320" s="10" t="str">
        <x:v>yes</x:v>
      </x:c>
      <x:c r="F320" s="10" t="str">
        <x:v>decided</x:v>
      </x:c>
      <x:c r="G320" s="10" t="str">
        <x:v>All listed conditions apply unless an accepted ADR states otherwise.</x:v>
      </x:c>
      <x:c r="H320" s="10" t="str">
        <x:v>ELTS Build Plan P7.7</x:v>
      </x:c>
      <x:c r="I320" s="10" t="str"/>
    </x:row>
    <x:row r="321">
      <x:c r="A321" s="34" t="str">
        <x:v>DEP-0316</x:v>
      </x:c>
      <x:c r="B321" s="34" t="str">
        <x:v>D-02</x:v>
      </x:c>
      <x:c r="C321" s="34" t="str">
        <x:v>P7.7</x:v>
      </x:c>
      <x:c r="D321" s="34" t="str">
        <x:v>blocks</x:v>
      </x:c>
      <x:c r="E321" s="34" t="str">
        <x:v>yes</x:v>
      </x:c>
      <x:c r="F321" s="34" t="str">
        <x:v>decided</x:v>
      </x:c>
      <x:c r="G321" s="34" t="str">
        <x:v>All listed conditions apply unless an accepted ADR states otherwise.</x:v>
      </x:c>
      <x:c r="H321" s="34" t="str">
        <x:v>ELTS Build Plan P7.7</x:v>
      </x:c>
      <x:c r="I321" s="34" t="str"/>
    </x:row>
    <x:row r="322">
      <x:c r="A322" s="10" t="str">
        <x:v>DEP-0317</x:v>
      </x:c>
      <x:c r="B322" s="10" t="str">
        <x:v>P7.1</x:v>
      </x:c>
      <x:c r="C322" s="10" t="str">
        <x:v>P7.7</x:v>
      </x:c>
      <x:c r="D322" s="10" t="str">
        <x:v>requires</x:v>
      </x:c>
      <x:c r="E322" s="10" t="str">
        <x:v>yes</x:v>
      </x:c>
      <x:c r="F322" s="10" t="str">
        <x:v>done</x:v>
      </x:c>
      <x:c r="G322" s="10" t="str">
        <x:v>All listed conditions apply unless an accepted ADR states otherwise.</x:v>
      </x:c>
      <x:c r="H322" s="10" t="str">
        <x:v>ELTS Build Plan P7.7</x:v>
      </x:c>
      <x:c r="I322" s="10" t="str"/>
    </x:row>
    <x:row r="323">
      <x:c r="A323" s="34" t="str">
        <x:v>DEP-0318</x:v>
      </x:c>
      <x:c r="B323" s="34" t="str">
        <x:v>G5</x:v>
      </x:c>
      <x:c r="C323" s="34" t="str">
        <x:v>P7.8</x:v>
      </x:c>
      <x:c r="D323" s="34" t="str">
        <x:v>unlocks</x:v>
      </x:c>
      <x:c r="E323" s="34" t="str">
        <x:v>yes</x:v>
      </x:c>
      <x:c r="F323" s="34" t="str">
        <x:v>passed</x:v>
      </x:c>
      <x:c r="G323" s="34" t="str">
        <x:v>All listed conditions apply unless an accepted ADR states otherwise.</x:v>
      </x:c>
      <x:c r="H323" s="34" t="str">
        <x:v>ELTS Build Plan P7.8</x:v>
      </x:c>
      <x:c r="I323" s="34" t="str"/>
    </x:row>
    <x:row r="324">
      <x:c r="A324" s="10" t="str">
        <x:v>DEP-0319</x:v>
      </x:c>
      <x:c r="B324" s="10" t="str">
        <x:v>G6</x:v>
      </x:c>
      <x:c r="C324" s="10" t="str">
        <x:v>P7.8</x:v>
      </x:c>
      <x:c r="D324" s="10" t="str">
        <x:v>unlocks</x:v>
      </x:c>
      <x:c r="E324" s="10" t="str">
        <x:v>yes</x:v>
      </x:c>
      <x:c r="F324" s="10" t="str">
        <x:v>passed</x:v>
      </x:c>
      <x:c r="G324" s="10" t="str">
        <x:v>All listed conditions apply unless an accepted ADR states otherwise.</x:v>
      </x:c>
      <x:c r="H324" s="10" t="str">
        <x:v>ELTS Build Plan P7.8</x:v>
      </x:c>
      <x:c r="I324" s="10" t="str"/>
    </x:row>
    <x:row r="325">
      <x:c r="A325" s="34" t="str">
        <x:v>DEP-0320</x:v>
      </x:c>
      <x:c r="B325" s="34" t="str">
        <x:v>D-01</x:v>
      </x:c>
      <x:c r="C325" s="34" t="str">
        <x:v>P7.8</x:v>
      </x:c>
      <x:c r="D325" s="34" t="str">
        <x:v>blocks</x:v>
      </x:c>
      <x:c r="E325" s="34" t="str">
        <x:v>yes</x:v>
      </x:c>
      <x:c r="F325" s="34" t="str">
        <x:v>decided</x:v>
      </x:c>
      <x:c r="G325" s="34" t="str">
        <x:v>All listed conditions apply unless an accepted ADR states otherwise.</x:v>
      </x:c>
      <x:c r="H325" s="34" t="str">
        <x:v>ELTS Build Plan P7.8</x:v>
      </x:c>
      <x:c r="I325" s="34" t="str"/>
    </x:row>
    <x:row r="326">
      <x:c r="A326" s="10" t="str">
        <x:v>DEP-0321</x:v>
      </x:c>
      <x:c r="B326" s="10" t="str">
        <x:v>D-02</x:v>
      </x:c>
      <x:c r="C326" s="10" t="str">
        <x:v>P7.8</x:v>
      </x:c>
      <x:c r="D326" s="10" t="str">
        <x:v>blocks</x:v>
      </x:c>
      <x:c r="E326" s="10" t="str">
        <x:v>yes</x:v>
      </x:c>
      <x:c r="F326" s="10" t="str">
        <x:v>decided</x:v>
      </x:c>
      <x:c r="G326" s="10" t="str">
        <x:v>All listed conditions apply unless an accepted ADR states otherwise.</x:v>
      </x:c>
      <x:c r="H326" s="10" t="str">
        <x:v>ELTS Build Plan P7.8</x:v>
      </x:c>
      <x:c r="I326" s="10" t="str"/>
    </x:row>
    <x:row r="327">
      <x:c r="A327" s="34" t="str">
        <x:v>DEP-0322</x:v>
      </x:c>
      <x:c r="B327" s="34" t="str">
        <x:v>P6.8</x:v>
      </x:c>
      <x:c r="C327" s="34" t="str">
        <x:v>P7.8</x:v>
      </x:c>
      <x:c r="D327" s="34" t="str">
        <x:v>requires</x:v>
      </x:c>
      <x:c r="E327" s="34" t="str">
        <x:v>yes</x:v>
      </x:c>
      <x:c r="F327" s="34" t="str">
        <x:v>done</x:v>
      </x:c>
      <x:c r="G327" s="34" t="str">
        <x:v>All listed conditions apply unless an accepted ADR states otherwise.</x:v>
      </x:c>
      <x:c r="H327" s="34" t="str">
        <x:v>ELTS Build Plan P7.8</x:v>
      </x:c>
      <x:c r="I327" s="34" t="str"/>
    </x:row>
    <x:row r="328">
      <x:c r="A328" s="10" t="str">
        <x:v>DEP-0323</x:v>
      </x:c>
      <x:c r="B328" s="10" t="str">
        <x:v>D-13</x:v>
      </x:c>
      <x:c r="C328" s="10" t="str">
        <x:v>P7.8</x:v>
      </x:c>
      <x:c r="D328" s="10" t="str">
        <x:v>blocks</x:v>
      </x:c>
      <x:c r="E328" s="10" t="str">
        <x:v>yes</x:v>
      </x:c>
      <x:c r="F328" s="10" t="str">
        <x:v>decided</x:v>
      </x:c>
      <x:c r="G328" s="10" t="str">
        <x:v>All listed conditions apply unless an accepted ADR states otherwise.</x:v>
      </x:c>
      <x:c r="H328" s="10" t="str">
        <x:v>ELTS Build Plan P7.8</x:v>
      </x:c>
      <x:c r="I328" s="10" t="str"/>
    </x:row>
    <x:row r="329">
      <x:c r="A329" s="34" t="str">
        <x:v>DEP-0324</x:v>
      </x:c>
      <x:c r="B329" s="34" t="str">
        <x:v>D-14</x:v>
      </x:c>
      <x:c r="C329" s="34" t="str">
        <x:v>P7.8</x:v>
      </x:c>
      <x:c r="D329" s="34" t="str">
        <x:v>blocks</x:v>
      </x:c>
      <x:c r="E329" s="34" t="str">
        <x:v>yes</x:v>
      </x:c>
      <x:c r="F329" s="34" t="str">
        <x:v>decided</x:v>
      </x:c>
      <x:c r="G329" s="34" t="str">
        <x:v>All listed conditions apply unless an accepted ADR states otherwise.</x:v>
      </x:c>
      <x:c r="H329" s="34" t="str">
        <x:v>ELTS Build Plan P7.8</x:v>
      </x:c>
      <x:c r="I329" s="34" t="str"/>
    </x:row>
    <x:row r="330">
      <x:c r="A330" s="10" t="str">
        <x:v>DEP-0325</x:v>
      </x:c>
      <x:c r="B330" s="10" t="str">
        <x:v>G5</x:v>
      </x:c>
      <x:c r="C330" s="10" t="str">
        <x:v>P7.9</x:v>
      </x:c>
      <x:c r="D330" s="10" t="str">
        <x:v>unlocks</x:v>
      </x:c>
      <x:c r="E330" s="10" t="str">
        <x:v>yes</x:v>
      </x:c>
      <x:c r="F330" s="10" t="str">
        <x:v>passed</x:v>
      </x:c>
      <x:c r="G330" s="10" t="str">
        <x:v>All listed conditions apply unless an accepted ADR states otherwise.</x:v>
      </x:c>
      <x:c r="H330" s="10" t="str">
        <x:v>ELTS Build Plan P7.9</x:v>
      </x:c>
      <x:c r="I330" s="10" t="str"/>
    </x:row>
    <x:row r="331">
      <x:c r="A331" s="34" t="str">
        <x:v>DEP-0326</x:v>
      </x:c>
      <x:c r="B331" s="34" t="str">
        <x:v>G6</x:v>
      </x:c>
      <x:c r="C331" s="34" t="str">
        <x:v>P7.9</x:v>
      </x:c>
      <x:c r="D331" s="34" t="str">
        <x:v>unlocks</x:v>
      </x:c>
      <x:c r="E331" s="34" t="str">
        <x:v>yes</x:v>
      </x:c>
      <x:c r="F331" s="34" t="str">
        <x:v>passed</x:v>
      </x:c>
      <x:c r="G331" s="34" t="str">
        <x:v>All listed conditions apply unless an accepted ADR states otherwise.</x:v>
      </x:c>
      <x:c r="H331" s="34" t="str">
        <x:v>ELTS Build Plan P7.9</x:v>
      </x:c>
      <x:c r="I331" s="34" t="str"/>
    </x:row>
    <x:row r="332">
      <x:c r="A332" s="10" t="str">
        <x:v>DEP-0327</x:v>
      </x:c>
      <x:c r="B332" s="10" t="str">
        <x:v>D-01</x:v>
      </x:c>
      <x:c r="C332" s="10" t="str">
        <x:v>P7.9</x:v>
      </x:c>
      <x:c r="D332" s="10" t="str">
        <x:v>blocks</x:v>
      </x:c>
      <x:c r="E332" s="10" t="str">
        <x:v>yes</x:v>
      </x:c>
      <x:c r="F332" s="10" t="str">
        <x:v>decided</x:v>
      </x:c>
      <x:c r="G332" s="10" t="str">
        <x:v>All listed conditions apply unless an accepted ADR states otherwise.</x:v>
      </x:c>
      <x:c r="H332" s="10" t="str">
        <x:v>ELTS Build Plan P7.9</x:v>
      </x:c>
      <x:c r="I332" s="10" t="str"/>
    </x:row>
    <x:row r="333">
      <x:c r="A333" s="34" t="str">
        <x:v>DEP-0328</x:v>
      </x:c>
      <x:c r="B333" s="34" t="str">
        <x:v>D-02</x:v>
      </x:c>
      <x:c r="C333" s="34" t="str">
        <x:v>P7.9</x:v>
      </x:c>
      <x:c r="D333" s="34" t="str">
        <x:v>blocks</x:v>
      </x:c>
      <x:c r="E333" s="34" t="str">
        <x:v>yes</x:v>
      </x:c>
      <x:c r="F333" s="34" t="str">
        <x:v>decided</x:v>
      </x:c>
      <x:c r="G333" s="34" t="str">
        <x:v>All listed conditions apply unless an accepted ADR states otherwise.</x:v>
      </x:c>
      <x:c r="H333" s="34" t="str">
        <x:v>ELTS Build Plan P7.9</x:v>
      </x:c>
      <x:c r="I333" s="34" t="str"/>
    </x:row>
    <x:row r="334">
      <x:c r="A334" s="10" t="str">
        <x:v>DEP-0329</x:v>
      </x:c>
      <x:c r="B334" s="10" t="str">
        <x:v>P7.2</x:v>
      </x:c>
      <x:c r="C334" s="10" t="str">
        <x:v>P7.9</x:v>
      </x:c>
      <x:c r="D334" s="10" t="str">
        <x:v>requires</x:v>
      </x:c>
      <x:c r="E334" s="10" t="str">
        <x:v>yes</x:v>
      </x:c>
      <x:c r="F334" s="10" t="str">
        <x:v>done</x:v>
      </x:c>
      <x:c r="G334" s="10" t="str">
        <x:v>All listed conditions apply unless an accepted ADR states otherwise.</x:v>
      </x:c>
      <x:c r="H334" s="10" t="str">
        <x:v>ELTS Build Plan P7.9</x:v>
      </x:c>
      <x:c r="I334" s="10" t="str"/>
    </x:row>
    <x:row r="335">
      <x:c r="A335" s="34" t="str">
        <x:v>DEP-0330</x:v>
      </x:c>
      <x:c r="B335" s="34" t="str">
        <x:v>P7.3</x:v>
      </x:c>
      <x:c r="C335" s="34" t="str">
        <x:v>P7.9</x:v>
      </x:c>
      <x:c r="D335" s="34" t="str">
        <x:v>requires</x:v>
      </x:c>
      <x:c r="E335" s="34" t="str">
        <x:v>yes</x:v>
      </x:c>
      <x:c r="F335" s="34" t="str">
        <x:v>done</x:v>
      </x:c>
      <x:c r="G335" s="34" t="str">
        <x:v>All listed conditions apply unless an accepted ADR states otherwise.</x:v>
      </x:c>
      <x:c r="H335" s="34" t="str">
        <x:v>ELTS Build Plan P7.9</x:v>
      </x:c>
      <x:c r="I335" s="34" t="str"/>
    </x:row>
    <x:row r="336">
      <x:c r="A336" s="10" t="str">
        <x:v>DEP-0331</x:v>
      </x:c>
      <x:c r="B336" s="10" t="str">
        <x:v>P7.4</x:v>
      </x:c>
      <x:c r="C336" s="10" t="str">
        <x:v>P7.9</x:v>
      </x:c>
      <x:c r="D336" s="10" t="str">
        <x:v>requires</x:v>
      </x:c>
      <x:c r="E336" s="10" t="str">
        <x:v>yes</x:v>
      </x:c>
      <x:c r="F336" s="10" t="str">
        <x:v>done</x:v>
      </x:c>
      <x:c r="G336" s="10" t="str">
        <x:v>All listed conditions apply unless an accepted ADR states otherwise.</x:v>
      </x:c>
      <x:c r="H336" s="10" t="str">
        <x:v>ELTS Build Plan P7.9</x:v>
      </x:c>
      <x:c r="I336" s="10" t="str"/>
    </x:row>
    <x:row r="337">
      <x:c r="A337" s="34" t="str">
        <x:v>DEP-0332</x:v>
      </x:c>
      <x:c r="B337" s="34" t="str">
        <x:v>P7.5</x:v>
      </x:c>
      <x:c r="C337" s="34" t="str">
        <x:v>P7.9</x:v>
      </x:c>
      <x:c r="D337" s="34" t="str">
        <x:v>requires</x:v>
      </x:c>
      <x:c r="E337" s="34" t="str">
        <x:v>yes</x:v>
      </x:c>
      <x:c r="F337" s="34" t="str">
        <x:v>done</x:v>
      </x:c>
      <x:c r="G337" s="34" t="str">
        <x:v>All listed conditions apply unless an accepted ADR states otherwise.</x:v>
      </x:c>
      <x:c r="H337" s="34" t="str">
        <x:v>ELTS Build Plan P7.9</x:v>
      </x:c>
      <x:c r="I337" s="34" t="str"/>
    </x:row>
    <x:row r="338">
      <x:c r="A338" s="10" t="str">
        <x:v>DEP-0333</x:v>
      </x:c>
      <x:c r="B338" s="10" t="str">
        <x:v>D-17</x:v>
      </x:c>
      <x:c r="C338" s="10" t="str">
        <x:v>P7.9</x:v>
      </x:c>
      <x:c r="D338" s="10" t="str">
        <x:v>blocks</x:v>
      </x:c>
      <x:c r="E338" s="10" t="str">
        <x:v>yes</x:v>
      </x:c>
      <x:c r="F338" s="10" t="str">
        <x:v>decided</x:v>
      </x:c>
      <x:c r="G338" s="10" t="str">
        <x:v>All listed conditions apply unless an accepted ADR states otherwise.</x:v>
      </x:c>
      <x:c r="H338" s="10" t="str">
        <x:v>ELTS Build Plan P7.9</x:v>
      </x:c>
      <x:c r="I338" s="10" t="str"/>
    </x:row>
    <x:row r="339">
      <x:c r="A339" s="34" t="str">
        <x:v>DEP-0334</x:v>
      </x:c>
      <x:c r="B339" s="34" t="str">
        <x:v>G7</x:v>
      </x:c>
      <x:c r="C339" s="34" t="str">
        <x:v>P8.1</x:v>
      </x:c>
      <x:c r="D339" s="34" t="str">
        <x:v>unlocks</x:v>
      </x:c>
      <x:c r="E339" s="34" t="str">
        <x:v>yes</x:v>
      </x:c>
      <x:c r="F339" s="34" t="str">
        <x:v>passed</x:v>
      </x:c>
      <x:c r="G339" s="34" t="str">
        <x:v>All listed conditions apply unless an accepted ADR states otherwise.</x:v>
      </x:c>
      <x:c r="H339" s="34" t="str">
        <x:v>ELTS Build Plan P8.1</x:v>
      </x:c>
      <x:c r="I339" s="34" t="str"/>
    </x:row>
    <x:row r="340">
      <x:c r="A340" s="10" t="str">
        <x:v>DEP-0335</x:v>
      </x:c>
      <x:c r="B340" s="10" t="str">
        <x:v>D-04</x:v>
      </x:c>
      <x:c r="C340" s="10" t="str">
        <x:v>P8.1</x:v>
      </x:c>
      <x:c r="D340" s="10" t="str">
        <x:v>blocks</x:v>
      </x:c>
      <x:c r="E340" s="10" t="str">
        <x:v>yes</x:v>
      </x:c>
      <x:c r="F340" s="10" t="str">
        <x:v>decided</x:v>
      </x:c>
      <x:c r="G340" s="10" t="str">
        <x:v>All listed conditions apply unless an accepted ADR states otherwise.</x:v>
      </x:c>
      <x:c r="H340" s="10" t="str">
        <x:v>ELTS Build Plan P8.1</x:v>
      </x:c>
      <x:c r="I340" s="10" t="str"/>
    </x:row>
    <x:row r="341">
      <x:c r="A341" s="34" t="str">
        <x:v>DEP-0336</x:v>
      </x:c>
      <x:c r="B341" s="34" t="str">
        <x:v>D-05</x:v>
      </x:c>
      <x:c r="C341" s="34" t="str">
        <x:v>P8.1</x:v>
      </x:c>
      <x:c r="D341" s="34" t="str">
        <x:v>blocks</x:v>
      </x:c>
      <x:c r="E341" s="34" t="str">
        <x:v>yes</x:v>
      </x:c>
      <x:c r="F341" s="34" t="str">
        <x:v>decided</x:v>
      </x:c>
      <x:c r="G341" s="34" t="str">
        <x:v>All listed conditions apply unless an accepted ADR states otherwise.</x:v>
      </x:c>
      <x:c r="H341" s="34" t="str">
        <x:v>ELTS Build Plan P8.1</x:v>
      </x:c>
      <x:c r="I341" s="34" t="str"/>
    </x:row>
    <x:row r="342">
      <x:c r="A342" s="10" t="str">
        <x:v>DEP-0337</x:v>
      </x:c>
      <x:c r="B342" s="10" t="str">
        <x:v>D-06</x:v>
      </x:c>
      <x:c r="C342" s="10" t="str">
        <x:v>P8.1</x:v>
      </x:c>
      <x:c r="D342" s="10" t="str">
        <x:v>blocks</x:v>
      </x:c>
      <x:c r="E342" s="10" t="str">
        <x:v>yes</x:v>
      </x:c>
      <x:c r="F342" s="10" t="str">
        <x:v>decided</x:v>
      </x:c>
      <x:c r="G342" s="10" t="str">
        <x:v>All listed conditions apply unless an accepted ADR states otherwise.</x:v>
      </x:c>
      <x:c r="H342" s="10" t="str">
        <x:v>ELTS Build Plan P8.1</x:v>
      </x:c>
      <x:c r="I342" s="10" t="str"/>
    </x:row>
    <x:row r="343">
      <x:c r="A343" s="34" t="str">
        <x:v>DEP-0338</x:v>
      </x:c>
      <x:c r="B343" s="34" t="str">
        <x:v>D-07</x:v>
      </x:c>
      <x:c r="C343" s="34" t="str">
        <x:v>P8.1</x:v>
      </x:c>
      <x:c r="D343" s="34" t="str">
        <x:v>blocks</x:v>
      </x:c>
      <x:c r="E343" s="34" t="str">
        <x:v>yes</x:v>
      </x:c>
      <x:c r="F343" s="34" t="str">
        <x:v>decided</x:v>
      </x:c>
      <x:c r="G343" s="34" t="str">
        <x:v>All listed conditions apply unless an accepted ADR states otherwise.</x:v>
      </x:c>
      <x:c r="H343" s="34" t="str">
        <x:v>ELTS Build Plan P8.1</x:v>
      </x:c>
      <x:c r="I343" s="34" t="str"/>
    </x:row>
    <x:row r="344">
      <x:c r="A344" s="10" t="str">
        <x:v>DEP-0339</x:v>
      </x:c>
      <x:c r="B344" s="10" t="str">
        <x:v>D-08</x:v>
      </x:c>
      <x:c r="C344" s="10" t="str">
        <x:v>P8.1</x:v>
      </x:c>
      <x:c r="D344" s="10" t="str">
        <x:v>blocks</x:v>
      </x:c>
      <x:c r="E344" s="10" t="str">
        <x:v>yes</x:v>
      </x:c>
      <x:c r="F344" s="10" t="str">
        <x:v>decided</x:v>
      </x:c>
      <x:c r="G344" s="10" t="str">
        <x:v>All listed conditions apply unless an accepted ADR states otherwise.</x:v>
      </x:c>
      <x:c r="H344" s="10" t="str">
        <x:v>ELTS Build Plan P8.1</x:v>
      </x:c>
      <x:c r="I344" s="10" t="str"/>
    </x:row>
    <x:row r="345">
      <x:c r="A345" s="34" t="str">
        <x:v>DEP-0340</x:v>
      </x:c>
      <x:c r="B345" s="34" t="str">
        <x:v>D-16</x:v>
      </x:c>
      <x:c r="C345" s="34" t="str">
        <x:v>P8.1</x:v>
      </x:c>
      <x:c r="D345" s="34" t="str">
        <x:v>blocks</x:v>
      </x:c>
      <x:c r="E345" s="34" t="str">
        <x:v>yes</x:v>
      </x:c>
      <x:c r="F345" s="34" t="str">
        <x:v>decided</x:v>
      </x:c>
      <x:c r="G345" s="34" t="str">
        <x:v>All listed conditions apply unless an accepted ADR states otherwise.</x:v>
      </x:c>
      <x:c r="H345" s="34" t="str">
        <x:v>ELTS Build Plan P8.1</x:v>
      </x:c>
      <x:c r="I345" s="34" t="str"/>
    </x:row>
    <x:row r="346">
      <x:c r="A346" s="10" t="str">
        <x:v>DEP-0341</x:v>
      </x:c>
      <x:c r="B346" s="10" t="str">
        <x:v>G7</x:v>
      </x:c>
      <x:c r="C346" s="10" t="str">
        <x:v>P8.2</x:v>
      </x:c>
      <x:c r="D346" s="10" t="str">
        <x:v>unlocks</x:v>
      </x:c>
      <x:c r="E346" s="10" t="str">
        <x:v>yes</x:v>
      </x:c>
      <x:c r="F346" s="10" t="str">
        <x:v>passed</x:v>
      </x:c>
      <x:c r="G346" s="10" t="str">
        <x:v>All listed conditions apply unless an accepted ADR states otherwise.</x:v>
      </x:c>
      <x:c r="H346" s="10" t="str">
        <x:v>ELTS Build Plan P8.2</x:v>
      </x:c>
      <x:c r="I346" s="10" t="str"/>
    </x:row>
    <x:row r="347">
      <x:c r="A347" s="34" t="str">
        <x:v>DEP-0342</x:v>
      </x:c>
      <x:c r="B347" s="34" t="str">
        <x:v>G7</x:v>
      </x:c>
      <x:c r="C347" s="34" t="str">
        <x:v>P8.3</x:v>
      </x:c>
      <x:c r="D347" s="34" t="str">
        <x:v>unlocks</x:v>
      </x:c>
      <x:c r="E347" s="34" t="str">
        <x:v>yes</x:v>
      </x:c>
      <x:c r="F347" s="34" t="str">
        <x:v>passed</x:v>
      </x:c>
      <x:c r="G347" s="34" t="str">
        <x:v>All listed conditions apply unless an accepted ADR states otherwise.</x:v>
      </x:c>
      <x:c r="H347" s="34" t="str">
        <x:v>ELTS Build Plan P8.3</x:v>
      </x:c>
      <x:c r="I347" s="34" t="str"/>
    </x:row>
    <x:row r="348">
      <x:c r="A348" s="10" t="str">
        <x:v>DEP-0343</x:v>
      </x:c>
      <x:c r="B348" s="10" t="str">
        <x:v>G7</x:v>
      </x:c>
      <x:c r="C348" s="10" t="str">
        <x:v>P8.4</x:v>
      </x:c>
      <x:c r="D348" s="10" t="str">
        <x:v>unlocks</x:v>
      </x:c>
      <x:c r="E348" s="10" t="str">
        <x:v>yes</x:v>
      </x:c>
      <x:c r="F348" s="10" t="str">
        <x:v>passed</x:v>
      </x:c>
      <x:c r="G348" s="10" t="str">
        <x:v>All listed conditions apply unless an accepted ADR states otherwise.</x:v>
      </x:c>
      <x:c r="H348" s="10" t="str">
        <x:v>ELTS Build Plan P8.4</x:v>
      </x:c>
      <x:c r="I348" s="10" t="str"/>
    </x:row>
    <x:row r="349">
      <x:c r="A349" s="34" t="str">
        <x:v>DEP-0344</x:v>
      </x:c>
      <x:c r="B349" s="34" t="str">
        <x:v>D-12</x:v>
      </x:c>
      <x:c r="C349" s="34" t="str">
        <x:v>P8.4</x:v>
      </x:c>
      <x:c r="D349" s="34" t="str">
        <x:v>blocks</x:v>
      </x:c>
      <x:c r="E349" s="34" t="str">
        <x:v>yes</x:v>
      </x:c>
      <x:c r="F349" s="34" t="str">
        <x:v>decided</x:v>
      </x:c>
      <x:c r="G349" s="34" t="str">
        <x:v>All listed conditions apply unless an accepted ADR states otherwise.</x:v>
      </x:c>
      <x:c r="H349" s="34" t="str">
        <x:v>ELTS Build Plan P8.4</x:v>
      </x:c>
      <x:c r="I349" s="34" t="str"/>
    </x:row>
    <x:row r="350">
      <x:c r="A350" s="10" t="str">
        <x:v>DEP-0345</x:v>
      </x:c>
      <x:c r="B350" s="10" t="str">
        <x:v>G7</x:v>
      </x:c>
      <x:c r="C350" s="10" t="str">
        <x:v>P8.5</x:v>
      </x:c>
      <x:c r="D350" s="10" t="str">
        <x:v>unlocks</x:v>
      </x:c>
      <x:c r="E350" s="10" t="str">
        <x:v>yes</x:v>
      </x:c>
      <x:c r="F350" s="10" t="str">
        <x:v>passed</x:v>
      </x:c>
      <x:c r="G350" s="10" t="str">
        <x:v>All listed conditions apply unless an accepted ADR states otherwise.</x:v>
      </x:c>
      <x:c r="H350" s="10" t="str">
        <x:v>ELTS Build Plan P8.5</x:v>
      </x:c>
      <x:c r="I350" s="10" t="str"/>
    </x:row>
    <x:row r="351">
      <x:c r="A351" s="34" t="str">
        <x:v>DEP-0346</x:v>
      </x:c>
      <x:c r="B351" s="34" t="str">
        <x:v>P8.1</x:v>
      </x:c>
      <x:c r="C351" s="34" t="str">
        <x:v>P8.5</x:v>
      </x:c>
      <x:c r="D351" s="34" t="str">
        <x:v>requires</x:v>
      </x:c>
      <x:c r="E351" s="34" t="str">
        <x:v>yes</x:v>
      </x:c>
      <x:c r="F351" s="34" t="str">
        <x:v>done</x:v>
      </x:c>
      <x:c r="G351" s="34" t="str">
        <x:v>All listed conditions apply unless an accepted ADR states otherwise.</x:v>
      </x:c>
      <x:c r="H351" s="34" t="str">
        <x:v>ELTS Build Plan P8.5</x:v>
      </x:c>
      <x:c r="I351" s="34" t="str"/>
    </x:row>
    <x:row r="352">
      <x:c r="A352" s="10" t="str">
        <x:v>DEP-0347</x:v>
      </x:c>
      <x:c r="B352" s="10" t="str">
        <x:v>P8.2</x:v>
      </x:c>
      <x:c r="C352" s="10" t="str">
        <x:v>P8.5</x:v>
      </x:c>
      <x:c r="D352" s="10" t="str">
        <x:v>requires</x:v>
      </x:c>
      <x:c r="E352" s="10" t="str">
        <x:v>yes</x:v>
      </x:c>
      <x:c r="F352" s="10" t="str">
        <x:v>done</x:v>
      </x:c>
      <x:c r="G352" s="10" t="str">
        <x:v>All listed conditions apply unless an accepted ADR states otherwise.</x:v>
      </x:c>
      <x:c r="H352" s="10" t="str">
        <x:v>ELTS Build Plan P8.5</x:v>
      </x:c>
      <x:c r="I352" s="10" t="str"/>
    </x:row>
    <x:row r="353">
      <x:c r="A353" s="34" t="str">
        <x:v>DEP-0348</x:v>
      </x:c>
      <x:c r="B353" s="34" t="str">
        <x:v>P8.3</x:v>
      </x:c>
      <x:c r="C353" s="34" t="str">
        <x:v>P8.5</x:v>
      </x:c>
      <x:c r="D353" s="34" t="str">
        <x:v>requires</x:v>
      </x:c>
      <x:c r="E353" s="34" t="str">
        <x:v>yes</x:v>
      </x:c>
      <x:c r="F353" s="34" t="str">
        <x:v>done</x:v>
      </x:c>
      <x:c r="G353" s="34" t="str">
        <x:v>All listed conditions apply unless an accepted ADR states otherwise.</x:v>
      </x:c>
      <x:c r="H353" s="34" t="str">
        <x:v>ELTS Build Plan P8.5</x:v>
      </x:c>
      <x:c r="I353" s="34" t="str"/>
    </x:row>
    <x:row r="354">
      <x:c r="A354" s="10" t="str">
        <x:v>DEP-0349</x:v>
      </x:c>
      <x:c r="B354" s="10" t="str">
        <x:v>P8.4</x:v>
      </x:c>
      <x:c r="C354" s="10" t="str">
        <x:v>P8.5</x:v>
      </x:c>
      <x:c r="D354" s="10" t="str">
        <x:v>requires</x:v>
      </x:c>
      <x:c r="E354" s="10" t="str">
        <x:v>yes</x:v>
      </x:c>
      <x:c r="F354" s="10" t="str">
        <x:v>done</x:v>
      </x:c>
      <x:c r="G354" s="10" t="str">
        <x:v>All listed conditions apply unless an accepted ADR states otherwise.</x:v>
      </x:c>
      <x:c r="H354" s="10" t="str">
        <x:v>ELTS Build Plan P8.5</x:v>
      </x:c>
      <x:c r="I354" s="10" t="str"/>
    </x:row>
    <x:row r="355">
      <x:c r="A355" s="34" t="str">
        <x:v>DEP-0350</x:v>
      </x:c>
      <x:c r="B355" s="34" t="str">
        <x:v>G7</x:v>
      </x:c>
      <x:c r="C355" s="34" t="str">
        <x:v>P8.6</x:v>
      </x:c>
      <x:c r="D355" s="34" t="str">
        <x:v>unlocks</x:v>
      </x:c>
      <x:c r="E355" s="34" t="str">
        <x:v>yes</x:v>
      </x:c>
      <x:c r="F355" s="34" t="str">
        <x:v>passed</x:v>
      </x:c>
      <x:c r="G355" s="34" t="str">
        <x:v>All listed conditions apply unless an accepted ADR states otherwise.</x:v>
      </x:c>
      <x:c r="H355" s="34" t="str">
        <x:v>ELTS Build Plan P8.6</x:v>
      </x:c>
      <x:c r="I355" s="34" t="str"/>
    </x:row>
    <x:row r="356">
      <x:c r="A356" s="10" t="str">
        <x:v>DEP-0351</x:v>
      </x:c>
      <x:c r="B356" s="10" t="str">
        <x:v>P8.5</x:v>
      </x:c>
      <x:c r="C356" s="10" t="str">
        <x:v>P8.6</x:v>
      </x:c>
      <x:c r="D356" s="10" t="str">
        <x:v>requires</x:v>
      </x:c>
      <x:c r="E356" s="10" t="str">
        <x:v>yes</x:v>
      </x:c>
      <x:c r="F356" s="10" t="str">
        <x:v>done</x:v>
      </x:c>
      <x:c r="G356" s="10" t="str">
        <x:v>All listed conditions apply unless an accepted ADR states otherwise.</x:v>
      </x:c>
      <x:c r="H356" s="10" t="str">
        <x:v>ELTS Build Plan P8.6</x:v>
      </x:c>
      <x:c r="I356" s="10" t="str"/>
    </x:row>
    <x:row r="357">
      <x:c r="A357" s="34" t="str">
        <x:v>DEP-0352</x:v>
      </x:c>
      <x:c r="B357" s="34" t="str">
        <x:v>G7</x:v>
      </x:c>
      <x:c r="C357" s="34" t="str">
        <x:v>P8.7</x:v>
      </x:c>
      <x:c r="D357" s="34" t="str">
        <x:v>unlocks</x:v>
      </x:c>
      <x:c r="E357" s="34" t="str">
        <x:v>yes</x:v>
      </x:c>
      <x:c r="F357" s="34" t="str">
        <x:v>passed</x:v>
      </x:c>
      <x:c r="G357" s="34" t="str">
        <x:v>All listed conditions apply unless an accepted ADR states otherwise.</x:v>
      </x:c>
      <x:c r="H357" s="34" t="str">
        <x:v>ELTS Build Plan P8.7</x:v>
      </x:c>
      <x:c r="I357" s="34" t="str"/>
    </x:row>
    <x:row r="358">
      <x:c r="A358" s="10" t="str">
        <x:v>DEP-0353</x:v>
      </x:c>
      <x:c r="B358" s="10" t="str">
        <x:v>P8.1</x:v>
      </x:c>
      <x:c r="C358" s="10" t="str">
        <x:v>P8.7</x:v>
      </x:c>
      <x:c r="D358" s="10" t="str">
        <x:v>requires</x:v>
      </x:c>
      <x:c r="E358" s="10" t="str">
        <x:v>yes</x:v>
      </x:c>
      <x:c r="F358" s="10" t="str">
        <x:v>done</x:v>
      </x:c>
      <x:c r="G358" s="10" t="str">
        <x:v>All listed conditions apply unless an accepted ADR states otherwise.</x:v>
      </x:c>
      <x:c r="H358" s="10" t="str">
        <x:v>ELTS Build Plan P8.7</x:v>
      </x:c>
      <x:c r="I358" s="10" t="str"/>
    </x:row>
    <x:row r="359">
      <x:c r="A359" s="34" t="str">
        <x:v>DEP-0354</x:v>
      </x:c>
      <x:c r="B359" s="34" t="str">
        <x:v>P8.2</x:v>
      </x:c>
      <x:c r="C359" s="34" t="str">
        <x:v>P8.7</x:v>
      </x:c>
      <x:c r="D359" s="34" t="str">
        <x:v>requires</x:v>
      </x:c>
      <x:c r="E359" s="34" t="str">
        <x:v>yes</x:v>
      </x:c>
      <x:c r="F359" s="34" t="str">
        <x:v>done</x:v>
      </x:c>
      <x:c r="G359" s="34" t="str">
        <x:v>All listed conditions apply unless an accepted ADR states otherwise.</x:v>
      </x:c>
      <x:c r="H359" s="34" t="str">
        <x:v>ELTS Build Plan P8.7</x:v>
      </x:c>
      <x:c r="I359" s="34" t="str"/>
    </x:row>
    <x:row r="360">
      <x:c r="A360" s="10" t="str">
        <x:v>DEP-0355</x:v>
      </x:c>
      <x:c r="B360" s="10" t="str">
        <x:v>P8.3</x:v>
      </x:c>
      <x:c r="C360" s="10" t="str">
        <x:v>P8.7</x:v>
      </x:c>
      <x:c r="D360" s="10" t="str">
        <x:v>requires</x:v>
      </x:c>
      <x:c r="E360" s="10" t="str">
        <x:v>yes</x:v>
      </x:c>
      <x:c r="F360" s="10" t="str">
        <x:v>done</x:v>
      </x:c>
      <x:c r="G360" s="10" t="str">
        <x:v>All listed conditions apply unless an accepted ADR states otherwise.</x:v>
      </x:c>
      <x:c r="H360" s="10" t="str">
        <x:v>ELTS Build Plan P8.7</x:v>
      </x:c>
      <x:c r="I360" s="10" t="str"/>
    </x:row>
    <x:row r="361">
      <x:c r="A361" s="34" t="str">
        <x:v>DEP-0356</x:v>
      </x:c>
      <x:c r="B361" s="34" t="str">
        <x:v>P8.4</x:v>
      </x:c>
      <x:c r="C361" s="34" t="str">
        <x:v>P8.7</x:v>
      </x:c>
      <x:c r="D361" s="34" t="str">
        <x:v>requires</x:v>
      </x:c>
      <x:c r="E361" s="34" t="str">
        <x:v>yes</x:v>
      </x:c>
      <x:c r="F361" s="34" t="str">
        <x:v>done</x:v>
      </x:c>
      <x:c r="G361" s="34" t="str">
        <x:v>All listed conditions apply unless an accepted ADR states otherwise.</x:v>
      </x:c>
      <x:c r="H361" s="34" t="str">
        <x:v>ELTS Build Plan P8.7</x:v>
      </x:c>
      <x:c r="I361" s="34" t="str"/>
    </x:row>
    <x:row r="362">
      <x:c r="A362" s="10" t="str">
        <x:v>DEP-0357</x:v>
      </x:c>
      <x:c r="B362" s="10" t="str">
        <x:v>P8.5</x:v>
      </x:c>
      <x:c r="C362" s="10" t="str">
        <x:v>P8.7</x:v>
      </x:c>
      <x:c r="D362" s="10" t="str">
        <x:v>requires</x:v>
      </x:c>
      <x:c r="E362" s="10" t="str">
        <x:v>yes</x:v>
      </x:c>
      <x:c r="F362" s="10" t="str">
        <x:v>done</x:v>
      </x:c>
      <x:c r="G362" s="10" t="str">
        <x:v>All listed conditions apply unless an accepted ADR states otherwise.</x:v>
      </x:c>
      <x:c r="H362" s="10" t="str">
        <x:v>ELTS Build Plan P8.7</x:v>
      </x:c>
      <x:c r="I362" s="10" t="str"/>
    </x:row>
    <x:row r="363">
      <x:c r="A363" s="34" t="str">
        <x:v>DEP-0358</x:v>
      </x:c>
      <x:c r="B363" s="34" t="str">
        <x:v>P8.6</x:v>
      </x:c>
      <x:c r="C363" s="34" t="str">
        <x:v>P8.7</x:v>
      </x:c>
      <x:c r="D363" s="34" t="str">
        <x:v>requires</x:v>
      </x:c>
      <x:c r="E363" s="34" t="str">
        <x:v>yes</x:v>
      </x:c>
      <x:c r="F363" s="34" t="str">
        <x:v>done</x:v>
      </x:c>
      <x:c r="G363" s="34" t="str">
        <x:v>All listed conditions apply unless an accepted ADR states otherwise.</x:v>
      </x:c>
      <x:c r="H363" s="34" t="str">
        <x:v>ELTS Build Plan P8.7</x:v>
      </x:c>
      <x:c r="I363" s="34" t="str"/>
    </x:row>
    <x:row r="364">
      <x:c r="A364" s="10" t="str">
        <x:v>DEP-0359</x:v>
      </x:c>
      <x:c r="B364" s="10" t="str">
        <x:v>G7</x:v>
      </x:c>
      <x:c r="C364" s="10" t="str">
        <x:v>P8.8</x:v>
      </x:c>
      <x:c r="D364" s="10" t="str">
        <x:v>unlocks</x:v>
      </x:c>
      <x:c r="E364" s="10" t="str">
        <x:v>yes</x:v>
      </x:c>
      <x:c r="F364" s="10" t="str">
        <x:v>passed</x:v>
      </x:c>
      <x:c r="G364" s="10" t="str">
        <x:v>All listed conditions apply unless an accepted ADR states otherwise.</x:v>
      </x:c>
      <x:c r="H364" s="10" t="str">
        <x:v>ELTS Build Plan P8.8</x:v>
      </x:c>
      <x:c r="I364" s="10" t="str"/>
    </x:row>
    <x:row r="365">
      <x:c r="A365" s="41" t="str">
        <x:v>DEP-0360</x:v>
      </x:c>
      <x:c r="B365" s="41" t="str">
        <x:v>P8.2</x:v>
      </x:c>
      <x:c r="C365" s="41" t="str">
        <x:v>P8.8</x:v>
      </x:c>
      <x:c r="D365" s="41" t="str">
        <x:v>requires</x:v>
      </x:c>
      <x:c r="E365" s="41" t="str">
        <x:v>yes</x:v>
      </x:c>
      <x:c r="F365" s="41" t="str">
        <x:v>done</x:v>
      </x:c>
      <x:c r="G365" s="41" t="str">
        <x:v>All listed conditions apply unless an accepted ADR states otherwise.</x:v>
      </x:c>
      <x:c r="H365" s="41" t="str">
        <x:v>ELTS Build Plan P8.8</x:v>
      </x:c>
      <x:c r="I365" s="41" t="str"/>
    </x:row>
  </x:sheetData>
  <x:mergeCells>
    <x:mergeCell ref="A1:I1"/>
    <x:mergeCell ref="A2:I2"/>
  </x:mergeCells>
  <x:pageMargins left="0.7" right="0.7" top="0.75" bottom="0.75" header="0.3" footer="0.3"/>
  <x:tableParts count="1">
    <x:tablePart xmlns:r="http://schemas.openxmlformats.org/officeDocument/2006/relationships" r:id="R70ba979e3b55404e"/>
  </x:tableParts>
</x:worksheet>
</file>

<file path=xl/worksheets/sheet9.xml><?xml version="1.0" encoding="utf-8"?>
<x:worksheet xmlns:x="http://schemas.openxmlformats.org/spreadsheetml/2006/main">
  <x:sheetPr>
    <x:tabColor rgb="FF4472C4"/>
  </x:sheetPr>
  <x:sheetViews>
    <x:sheetView showGridLines="0" workbookViewId="0">
      <x:pane xSplit="2" ySplit="5" topLeftCell="C6" activePane="bottomRight" state="frozen"/>
    </x:sheetView>
  </x:sheetViews>
  <x:sheetFormatPr defaultRowHeight="15"/>
  <x:cols>
    <x:col min="1" max="1" width="15" hidden="0" customWidth="1"/>
    <x:col min="2" max="2" width="13" hidden="0" customWidth="1"/>
    <x:col min="3" max="3" width="80" hidden="0" customWidth="1"/>
    <x:col min="4" max="4" width="28" hidden="0" customWidth="1"/>
    <x:col min="5" max="5" width="28" hidden="0" customWidth="1"/>
    <x:col min="6" max="6" width="30" hidden="0" customWidth="1"/>
    <x:col min="7" max="7" width="16" hidden="0" customWidth="1"/>
    <x:col min="8" max="8" width="34" hidden="0" customWidth="1"/>
    <x:col min="9" max="9" width="30" hidden="0" customWidth="1"/>
  </x:cols>
  <x:sheetData>
    <x:row r="1" ht="28" customHeight="1">
      <x:c r="A1" s="1" t="str">
        <x:v>Requirements traceability</x:v>
      </x:c>
    </x:row>
    <x:row r="2">
      <x:c r="A2" s="2" t="str">
        <x:v>Normative architecture, scientific, portability, data, Git, agent, progress, and release requirements.</x:v>
      </x:c>
    </x:row>
    <x:row r="3">
      <x:c r="A3" s="3"/>
      <x:c r="B3" s="3"/>
      <x:c r="C3" s="3"/>
      <x:c r="D3" s="3"/>
      <x:c r="E3" s="3"/>
      <x:c r="F3" s="3"/>
      <x:c r="G3" s="3"/>
      <x:c r="H3" s="3"/>
      <x:c r="I3" s="3"/>
    </x:row>
    <x:row r="5" ht="32" customHeight="1">
      <x:c r="A5" s="31" t="str">
        <x:v>Requirement ID</x:v>
      </x:c>
      <x:c r="B5" s="31" t="str">
        <x:v>Level</x:v>
      </x:c>
      <x:c r="C5" s="31" t="str">
        <x:v>Requirement</x:v>
      </x:c>
      <x:c r="D5" s="31" t="str">
        <x:v>Implemented By</x:v>
      </x:c>
      <x:c r="E5" s="31" t="str">
        <x:v>Verified By</x:v>
      </x:c>
      <x:c r="F5" s="31" t="str">
        <x:v>Source</x:v>
      </x:c>
      <x:c r="G5" s="31" t="str">
        <x:v>Status</x:v>
      </x:c>
      <x:c r="H5" s="31" t="str">
        <x:v>Evidence</x:v>
      </x:c>
      <x:c r="I5" s="31" t="str">
        <x:v>Notes</x:v>
      </x:c>
    </x:row>
    <x:row r="6">
      <x:c r="A6" s="10" t="str">
        <x:v>SCI-001</x:v>
      </x:c>
      <x:c r="B6" s="10" t="str">
        <x:v>MUST</x:v>
      </x:c>
      <x:c r="C6" s="10" t="str">
        <x:v>Continuous aim error is the world-space angular error in degrees between the zero-corrected bore ray and the muzzle-to-target ray.</x:v>
      </x:c>
      <x:c r="D6" s="10" t="str">
        <x:v>P2.4, P2.7, P4.5</x:v>
      </x:c>
      <x:c r="E6" s="10" t="str">
        <x:v>G2, G4, G8</x:v>
      </x:c>
      <x:c r="F6" s="10" t="str">
        <x:v>ELTS build plan and architecture specification</x:v>
      </x:c>
      <x:c r="G6" s="10" t="str">
        <x:v>baseline</x:v>
      </x:c>
      <x:c r="H6" s="10" t="str"/>
      <x:c r="I6" s="10" t="str"/>
    </x:row>
    <x:row r="7">
      <x:c r="A7" s="34" t="str">
        <x:v>SCI-002</x:v>
      </x:c>
      <x:c r="B7" s="34" t="str">
        <x:v>MUST</x:v>
      </x:c>
      <x:c r="C7" s="34" t="str">
        <x:v>A target's canonical position is world-space; screen coordinates are derived each frame and never canonical target state.</x:v>
      </x:c>
      <x:c r="D7" s="34" t="str">
        <x:v>P2.7, P4.2</x:v>
      </x:c>
      <x:c r="E7" s="34" t="str">
        <x:v>G4</x:v>
      </x:c>
      <x:c r="F7" s="34" t="str">
        <x:v>ELTS build plan and architecture specification</x:v>
      </x:c>
      <x:c r="G7" s="34" t="str">
        <x:v>baseline</x:v>
      </x:c>
      <x:c r="H7" s="34" t="str"/>
      <x:c r="I7" s="34" t="str"/>
    </x:row>
    <x:row r="8">
      <x:c r="A8" s="10" t="str">
        <x:v>SCI-003</x:v>
      </x:c>
      <x:c r="B8" s="10" t="str">
        <x:v>MUST NOT</x:v>
      </x:c>
      <x:c r="C8" s="10" t="str">
        <x:v>Unity sends head pose, target coordinates, turret angles, or individual LED commands to ELTS; only lifecycle commands are allowed.</x:v>
      </x:c>
      <x:c r="D8" s="10" t="str">
        <x:v>P6.1, P6.5, P6.7</x:v>
      </x:c>
      <x:c r="E8" s="10" t="str">
        <x:v>G6</x:v>
      </x:c>
      <x:c r="F8" s="10" t="str">
        <x:v>ELTS build plan and architecture specification</x:v>
      </x:c>
      <x:c r="G8" s="10" t="str">
        <x:v>baseline</x:v>
      </x:c>
      <x:c r="H8" s="10" t="str"/>
      <x:c r="I8" s="10" t="str"/>
    </x:row>
    <x:row r="9">
      <x:c r="A9" s="34" t="str">
        <x:v>SCI-004</x:v>
      </x:c>
      <x:c r="B9" s="34" t="str">
        <x:v>MUST</x:v>
      </x:c>
      <x:c r="C9" s="34" t="str">
        <x:v>The study uses no HMD and nothing near the eyes beyond approved measurement equipment.</x:v>
      </x:c>
      <x:c r="D9" s="34" t="str">
        <x:v>P1.2, P1.14</x:v>
      </x:c>
      <x:c r="E9" s="34" t="str">
        <x:v>G1, G8</x:v>
      </x:c>
      <x:c r="F9" s="34" t="str">
        <x:v>ELTS build plan and architecture specification</x:v>
      </x:c>
      <x:c r="G9" s="34" t="str">
        <x:v>baseline</x:v>
      </x:c>
      <x:c r="H9" s="34" t="str"/>
      <x:c r="I9" s="34" t="str"/>
    </x:row>
    <x:row r="10">
      <x:c r="A10" s="10" t="str">
        <x:v>SCI-005</x:v>
      </x:c>
      <x:c r="B10" s="10" t="str">
        <x:v>MUST</x:v>
      </x:c>
      <x:c r="C10" s="10" t="str">
        <x:v>All application timestamps derive from one monotonic clock started at application launch; UTC is only an alignment anchor.</x:v>
      </x:c>
      <x:c r="D10" s="10" t="str">
        <x:v>P2.2, P6.3</x:v>
      </x:c>
      <x:c r="E10" s="10" t="str">
        <x:v>G2, G6</x:v>
      </x:c>
      <x:c r="F10" s="10" t="str">
        <x:v>ELTS build plan and architecture specification</x:v>
      </x:c>
      <x:c r="G10" s="10" t="str">
        <x:v>baseline</x:v>
      </x:c>
      <x:c r="H10" s="10" t="str"/>
      <x:c r="I10" s="10" t="str"/>
    </x:row>
    <x:row r="11">
      <x:c r="A11" s="34" t="str">
        <x:v>SCI-006</x:v>
      </x:c>
      <x:c r="B11" s="34" t="str">
        <x:v>MUST</x:v>
      </x:c>
      <x:c r="C11" s="34" t="str">
        <x:v>Every tracking sample contains connection and validity flags; invalid poses are excluded and never interpolated.</x:v>
      </x:c>
      <x:c r="D11" s="34" t="str">
        <x:v>P2.3, P2.5, P2.8</x:v>
      </x:c>
      <x:c r="E11" s="34" t="str">
        <x:v>G2, G8</x:v>
      </x:c>
      <x:c r="F11" s="34" t="str">
        <x:v>ELTS build plan and architecture specification</x:v>
      </x:c>
      <x:c r="G11" s="34" t="str">
        <x:v>baseline</x:v>
      </x:c>
      <x:c r="H11" s="34" t="str"/>
      <x:c r="I11" s="34" t="str"/>
    </x:row>
    <x:row r="12">
      <x:c r="A12" s="10" t="str">
        <x:v>SCI-007</x:v>
      </x:c>
      <x:c r="B12" s="10" t="str">
        <x:v>MUST</x:v>
      </x:c>
      <x:c r="C12" s="10" t="str">
        <x:v>Trackers bind by configured serial number, never device index.</x:v>
      </x:c>
      <x:c r="D12" s="10" t="str">
        <x:v>P1.3, P1.5, P2.3</x:v>
      </x:c>
      <x:c r="E12" s="10" t="str">
        <x:v>G1, G8</x:v>
      </x:c>
      <x:c r="F12" s="10" t="str">
        <x:v>ELTS build plan and architecture specification</x:v>
      </x:c>
      <x:c r="G12" s="10" t="str">
        <x:v>baseline</x:v>
      </x:c>
      <x:c r="H12" s="10" t="str"/>
      <x:c r="I12" s="10" t="str"/>
    </x:row>
    <x:row r="13">
      <x:c r="A13" s="34" t="str">
        <x:v>SCI-008</x:v>
      </x:c>
      <x:c r="B13" s="34" t="str">
        <x:v>MUST</x:v>
      </x:c>
      <x:c r="C13" s="34" t="str">
        <x:v>Logged tracking uses zero prediction; rendering-only head prediction is isolated and the weapon pose remains raw.</x:v>
      </x:c>
      <x:c r="D13" s="34" t="str">
        <x:v>P1.6, P2.3, P3.6</x:v>
      </x:c>
      <x:c r="E13" s="34" t="str">
        <x:v>G1, G3</x:v>
      </x:c>
      <x:c r="F13" s="34" t="str">
        <x:v>ELTS build plan and architecture specification</x:v>
      </x:c>
      <x:c r="G13" s="34" t="str">
        <x:v>baseline</x:v>
      </x:c>
      <x:c r="H13" s="34" t="str"/>
      <x:c r="I13" s="34" t="str"/>
    </x:row>
    <x:row r="14">
      <x:c r="A14" s="10" t="str">
        <x:v>SCI-009</x:v>
      </x:c>
      <x:c r="B14" s="10" t="str">
        <x:v>MUST</x:v>
      </x:c>
      <x:c r="C14" s="10" t="str">
        <x:v>Trigger handling accepts the first falling edge and applies the configured lockout, nominally 20 ms.</x:v>
      </x:c>
      <x:c r="D14" s="10" t="str">
        <x:v>P1.8, P2.3</x:v>
      </x:c>
      <x:c r="E14" s="10" t="str">
        <x:v>G2</x:v>
      </x:c>
      <x:c r="F14" s="10" t="str">
        <x:v>ELTS build plan and architecture specification</x:v>
      </x:c>
      <x:c r="G14" s="10" t="str">
        <x:v>baseline</x:v>
      </x:c>
      <x:c r="H14" s="10" t="str"/>
      <x:c r="I14" s="10" t="str"/>
    </x:row>
    <x:row r="15">
      <x:c r="A15" s="34" t="str">
        <x:v>SCI-010</x:v>
      </x:c>
      <x:c r="B15" s="34" t="str">
        <x:v>MUST</x:v>
      </x:c>
      <x:c r="C15" s="34" t="str">
        <x:v>The primary block DV remains the count of TargetDestroyed events during the fixed 300-second block.</x:v>
      </x:c>
      <x:c r="D15" s="34" t="str">
        <x:v>P4.6, P4.8</x:v>
      </x:c>
      <x:c r="E15" s="34" t="str">
        <x:v>G4, G8</x:v>
      </x:c>
      <x:c r="F15" s="34" t="str">
        <x:v>ELTS build plan and architecture specification</x:v>
      </x:c>
      <x:c r="G15" s="34" t="str">
        <x:v>baseline</x:v>
      </x:c>
      <x:c r="H15" s="34" t="str"/>
      <x:c r="I15" s="34" t="str"/>
    </x:row>
    <x:row r="16">
      <x:c r="A16" s="10" t="str">
        <x:v>SCI-011</x:v>
      </x:c>
      <x:c r="B16" s="10" t="str">
        <x:v>MUST</x:v>
      </x:c>
      <x:c r="C16" s="10" t="str">
        <x:v>Scenario, behavior, scoring, session, geometry, display, and ELTS transport choices remain data-driven or interface-driven.</x:v>
      </x:c>
      <x:c r="D16" s="10" t="str">
        <x:v>P2.1, P4.1:P4.8, P6.1:P6.2</x:v>
      </x:c>
      <x:c r="E16" s="10" t="str">
        <x:v>G4, G6</x:v>
      </x:c>
      <x:c r="F16" s="10" t="str">
        <x:v>ELTS build plan and architecture specification</x:v>
      </x:c>
      <x:c r="G16" s="10" t="str">
        <x:v>baseline</x:v>
      </x:c>
      <x:c r="H16" s="10" t="str"/>
      <x:c r="I16" s="10" t="str"/>
    </x:row>
    <x:row r="17">
      <x:c r="A17" s="34" t="str">
        <x:v>SCI-012</x:v>
      </x:c>
      <x:c r="B17" s="34" t="str">
        <x:v>MUST</x:v>
      </x:c>
      <x:c r="C17" s="34" t="str">
        <x:v>Participant and operator rendering remain independent; operator content never reaches the participant display.</x:v>
      </x:c>
      <x:c r="D17" s="34" t="str">
        <x:v>P3.2, P3.4, P3.5</x:v>
      </x:c>
      <x:c r="E17" s="34" t="str">
        <x:v>G3</x:v>
      </x:c>
      <x:c r="F17" s="34" t="str">
        <x:v>ELTS build plan and architecture specification</x:v>
      </x:c>
      <x:c r="G17" s="34" t="str">
        <x:v>baseline</x:v>
      </x:c>
      <x:c r="H17" s="34" t="str"/>
      <x:c r="I17" s="34" t="str"/>
    </x:row>
    <x:row r="18">
      <x:c r="A18" s="10" t="str">
        <x:v>SAFE-001</x:v>
      </x:c>
      <x:c r="B18" s="10" t="str">
        <x:v>MUST</x:v>
      </x:c>
      <x:c r="C18" s="10" t="str">
        <x:v>Heartbeat timeout, maximum on-time, and normally closed physical E-stop operate as independent safeguards.</x:v>
      </x:c>
      <x:c r="D18" s="10" t="str">
        <x:v>P6.8, P6.12</x:v>
      </x:c>
      <x:c r="E18" s="10" t="str">
        <x:v>G6, G7</x:v>
      </x:c>
      <x:c r="F18" s="10" t="str">
        <x:v>ELTS build plan and architecture specification</x:v>
      </x:c>
      <x:c r="G18" s="10" t="str">
        <x:v>baseline</x:v>
      </x:c>
      <x:c r="H18" s="10" t="str"/>
      <x:c r="I18" s="10" t="str"/>
    </x:row>
    <x:row r="19">
      <x:c r="A19" s="34" t="str">
        <x:v>SAFE-002</x:v>
      </x:c>
      <x:c r="B19" s="34" t="str">
        <x:v>MUST NOT</x:v>
      </x:c>
      <x:c r="C19" s="34" t="str">
        <x:v>Software overrides or weakens the physical E-stop.</x:v>
      </x:c>
      <x:c r="D19" s="34" t="str">
        <x:v>P6.8, P6.12</x:v>
      </x:c>
      <x:c r="E19" s="34" t="str">
        <x:v>G6</x:v>
      </x:c>
      <x:c r="F19" s="34" t="str">
        <x:v>ELTS build plan and architecture specification</x:v>
      </x:c>
      <x:c r="G19" s="34" t="str">
        <x:v>baseline</x:v>
      </x:c>
      <x:c r="H19" s="34" t="str"/>
      <x:c r="I19" s="34" t="str"/>
    </x:row>
    <x:row r="20">
      <x:c r="A20" s="10" t="str">
        <x:v>SAFE-003</x:v>
      </x:c>
      <x:c r="B20" s="10" t="str">
        <x:v>MUST</x:v>
      </x:c>
      <x:c r="C20" s="10" t="str">
        <x:v>Safety-critical ELTS changes receive human review and repeat the applicable fail-safe and bench tests.</x:v>
      </x:c>
      <x:c r="D20" s="10" t="str">
        <x:v>P6.8, P7.8</x:v>
      </x:c>
      <x:c r="E20" s="10" t="str">
        <x:v>G6, G7</x:v>
      </x:c>
      <x:c r="F20" s="10" t="str">
        <x:v>ELTS build plan and architecture specification</x:v>
      </x:c>
      <x:c r="G20" s="10" t="str">
        <x:v>baseline</x:v>
      </x:c>
      <x:c r="H20" s="10" t="str"/>
      <x:c r="I20" s="10" t="str"/>
    </x:row>
    <x:row r="21">
      <x:c r="A21" s="34" t="str">
        <x:v>SAFE-004</x:v>
      </x:c>
      <x:c r="B21" s="34" t="str">
        <x:v>MUST</x:v>
      </x:c>
      <x:c r="C21" s="34" t="str">
        <x:v>The LED exposure basis and operational limits are documented and agree with software guards.</x:v>
      </x:c>
      <x:c r="D21" s="34" t="str">
        <x:v>P0.6, P7.8</x:v>
      </x:c>
      <x:c r="E21" s="34" t="str">
        <x:v>G7</x:v>
      </x:c>
      <x:c r="F21" s="34" t="str">
        <x:v>ELTS build plan and architecture specification</x:v>
      </x:c>
      <x:c r="G21" s="34" t="str">
        <x:v>baseline</x:v>
      </x:c>
      <x:c r="H21" s="34" t="str"/>
      <x:c r="I21" s="34" t="str"/>
    </x:row>
    <x:row r="22">
      <x:c r="A22" s="10" t="str">
        <x:v>SAFE-005</x:v>
      </x:c>
      <x:c r="B22" s="10" t="str">
        <x:v>MUST</x:v>
      </x:c>
      <x:c r="C22" s="10" t="str">
        <x:v>The mock weapon is inert, visibly marked, secured, and covered by campus notification procedures.</x:v>
      </x:c>
      <x:c r="D22" s="10" t="str">
        <x:v>P0.6, P1.11:P1.13</x:v>
      </x:c>
      <x:c r="E22" s="10" t="str">
        <x:v>G0, G8</x:v>
      </x:c>
      <x:c r="F22" s="10" t="str">
        <x:v>ELTS build plan and architecture specification</x:v>
      </x:c>
      <x:c r="G22" s="10" t="str">
        <x:v>baseline</x:v>
      </x:c>
      <x:c r="H22" s="10" t="str"/>
      <x:c r="I22" s="10" t="str"/>
    </x:row>
    <x:row r="23">
      <x:c r="A23" s="34" t="str">
        <x:v>SAFE-006</x:v>
      </x:c>
      <x:c r="B23" s="34" t="str">
        <x:v>MUST</x:v>
      </x:c>
      <x:c r="C23" s="34" t="str">
        <x:v>A failed daily registration check stops participant operation until recalibration and incident recording are complete.</x:v>
      </x:c>
      <x:c r="D23" s="34" t="str">
        <x:v>P5.9, P8.2</x:v>
      </x:c>
      <x:c r="E23" s="34" t="str">
        <x:v>G5, G8</x:v>
      </x:c>
      <x:c r="F23" s="34" t="str">
        <x:v>ELTS build plan and architecture specification</x:v>
      </x:c>
      <x:c r="G23" s="34" t="str">
        <x:v>baseline</x:v>
      </x:c>
      <x:c r="H23" s="34" t="str"/>
      <x:c r="I23" s="34" t="str"/>
    </x:row>
    <x:row r="24">
      <x:c r="A24" s="10" t="str">
        <x:v>POR-001</x:v>
      </x:c>
      <x:c r="B24" s="10" t="str">
        <x:v>MUST NOT</x:v>
      </x:c>
      <x:c r="C24" s="10" t="str">
        <x:v>Committed code or configuration contains user-specific absolute paths.</x:v>
      </x:c>
      <x:c r="D24" s="10" t="str">
        <x:v>P0.3</x:v>
      </x:c>
      <x:c r="E24" s="10" t="str">
        <x:v>repository-policy CI</x:v>
      </x:c>
      <x:c r="F24" s="10" t="str">
        <x:v>ELTS architecture specification</x:v>
      </x:c>
      <x:c r="G24" s="10" t="str">
        <x:v>baseline</x:v>
      </x:c>
      <x:c r="H24" s="10" t="str"/>
      <x:c r="I24" s="10" t="str"/>
    </x:row>
    <x:row r="25">
      <x:c r="A25" s="34" t="str">
        <x:v>POR-002</x:v>
      </x:c>
      <x:c r="B25" s="34" t="str">
        <x:v>MUST</x:v>
      </x:c>
      <x:c r="C25" s="34" t="str">
        <x:v>Release scripts and runtime work from arbitrary writable extraction paths, including paths with spaces.</x:v>
      </x:c>
      <x:c r="D25" s="34" t="str">
        <x:v>P0.3, P8.7</x:v>
      </x:c>
      <x:c r="E25" s="34" t="str">
        <x:v>clean-path portability test</x:v>
      </x:c>
      <x:c r="F25" s="34" t="str">
        <x:v>ELTS architecture specification</x:v>
      </x:c>
      <x:c r="G25" s="34" t="str">
        <x:v>baseline</x:v>
      </x:c>
      <x:c r="H25" s="34" t="str"/>
      <x:c r="I25" s="34" t="str"/>
    </x:row>
    <x:row r="26">
      <x:c r="A26" s="10" t="str">
        <x:v>POR-003</x:v>
      </x:c>
      <x:c r="B26" s="10" t="str">
        <x:v>MUST</x:v>
      </x:c>
      <x:c r="C26" s="10" t="str">
        <x:v>Bootstrap and first-run operations are idempotent.</x:v>
      </x:c>
      <x:c r="D26" s="10" t="str">
        <x:v>P0.3</x:v>
      </x:c>
      <x:c r="E26" s="10" t="str">
        <x:v>repeat-run test</x:v>
      </x:c>
      <x:c r="F26" s="10" t="str">
        <x:v>ELTS architecture specification</x:v>
      </x:c>
      <x:c r="G26" s="10" t="str">
        <x:v>baseline</x:v>
      </x:c>
      <x:c r="H26" s="10" t="str"/>
      <x:c r="I26" s="10" t="str"/>
    </x:row>
    <x:row r="27">
      <x:c r="A27" s="34" t="str">
        <x:v>POR-004</x:v>
      </x:c>
      <x:c r="B27" s="34" t="str">
        <x:v>MUST</x:v>
      </x:c>
      <x:c r="C27" s="34" t="str">
        <x:v>Provisioning backs up existing local configuration or calibration before replacement.</x:v>
      </x:c>
      <x:c r="D27" s="34" t="str">
        <x:v>P0.3, P5.4</x:v>
      </x:c>
      <x:c r="E27" s="34" t="str">
        <x:v>provisioning test</x:v>
      </x:c>
      <x:c r="F27" s="34" t="str">
        <x:v>ELTS architecture specification</x:v>
      </x:c>
      <x:c r="G27" s="34" t="str">
        <x:v>baseline</x:v>
      </x:c>
      <x:c r="H27" s="34" t="str"/>
      <x:c r="I27" s="34" t="str"/>
    </x:row>
    <x:row r="28">
      <x:c r="A28" s="10" t="str">
        <x:v>POR-005</x:v>
      </x:c>
      <x:c r="B28" s="10" t="str">
        <x:v>MUST NOT</x:v>
      </x:c>
      <x:c r="C28" s="10" t="str">
        <x:v>The study runtime requires the Unity Editor.</x:v>
      </x:c>
      <x:c r="D28" s="10" t="str">
        <x:v>P0.3, P8.7</x:v>
      </x:c>
      <x:c r="E28" s="10" t="str">
        <x:v>G8</x:v>
      </x:c>
      <x:c r="F28" s="10" t="str">
        <x:v>ELTS architecture specification</x:v>
      </x:c>
      <x:c r="G28" s="10" t="str">
        <x:v>baseline</x:v>
      </x:c>
      <x:c r="H28" s="10" t="str"/>
      <x:c r="I28" s="10" t="str"/>
    </x:row>
    <x:row r="29">
      <x:c r="A29" s="34" t="str">
        <x:v>POR-006</x:v>
      </x:c>
      <x:c r="B29" s="34" t="str">
        <x:v>SHOULD NOT</x:v>
      </x:c>
      <x:c r="C29" s="34" t="str">
        <x:v>Prepared study operation requires internet connectivity.</x:v>
      </x:c>
      <x:c r="D29" s="34" t="str">
        <x:v>P0.3, P8.7</x:v>
      </x:c>
      <x:c r="E29" s="34" t="str">
        <x:v>offline rehearsal</x:v>
      </x:c>
      <x:c r="F29" s="34" t="str">
        <x:v>ELTS architecture specification</x:v>
      </x:c>
      <x:c r="G29" s="34" t="str">
        <x:v>baseline</x:v>
      </x:c>
      <x:c r="H29" s="34" t="str"/>
      <x:c r="I29" s="34" t="str"/>
    </x:row>
    <x:row r="30">
      <x:c r="A30" s="10" t="str">
        <x:v>POR-007</x:v>
      </x:c>
      <x:c r="B30" s="10" t="str">
        <x:v>MUST</x:v>
      </x:c>
      <x:c r="C30" s="10" t="str">
        <x:v>Diagnostics emit both readable output and a versioned machine-readable report.</x:v>
      </x:c>
      <x:c r="D30" s="10" t="str">
        <x:v>P0.3, P4.12</x:v>
      </x:c>
      <x:c r="E30" s="10" t="str">
        <x:v>doctor schema test</x:v>
      </x:c>
      <x:c r="F30" s="10" t="str">
        <x:v>ELTS architecture specification</x:v>
      </x:c>
      <x:c r="G30" s="10" t="str">
        <x:v>baseline</x:v>
      </x:c>
      <x:c r="H30" s="10" t="str"/>
      <x:c r="I30" s="10" t="str"/>
    </x:row>
    <x:row r="31">
      <x:c r="A31" s="34" t="str">
        <x:v>POR-008</x:v>
      </x:c>
      <x:c r="B31" s="34" t="str">
        <x:v>MUST</x:v>
      </x:c>
      <x:c r="C31" s="34" t="str">
        <x:v>A new physical rig receives a new rig identity and required recalibration instead of inheriting old calibration silently.</x:v>
      </x:c>
      <x:c r="D31" s="34" t="str">
        <x:v>P5.4, P7.1</x:v>
      </x:c>
      <x:c r="E31" s="34" t="str">
        <x:v>G5, G7</x:v>
      </x:c>
      <x:c r="F31" s="34" t="str">
        <x:v>ELTS architecture specification</x:v>
      </x:c>
      <x:c r="G31" s="34" t="str">
        <x:v>baseline</x:v>
      </x:c>
      <x:c r="H31" s="34" t="str"/>
      <x:c r="I31" s="34" t="str"/>
    </x:row>
    <x:row r="32">
      <x:c r="A32" s="10" t="str">
        <x:v>POR-009</x:v>
      </x:c>
      <x:c r="B32" s="10" t="str">
        <x:v>MUST</x:v>
      </x:c>
      <x:c r="C32" s="10" t="str">
        <x:v>Unbundled prerequisites are precisely documented and detected.</x:v>
      </x:c>
      <x:c r="D32" s="10" t="str">
        <x:v>P0.2, P0.3</x:v>
      </x:c>
      <x:c r="E32" s="10" t="str">
        <x:v>doctor checks</x:v>
      </x:c>
      <x:c r="F32" s="10" t="str">
        <x:v>ELTS architecture specification</x:v>
      </x:c>
      <x:c r="G32" s="10" t="str">
        <x:v>baseline</x:v>
      </x:c>
      <x:c r="H32" s="10" t="str"/>
      <x:c r="I32" s="10" t="str"/>
    </x:row>
    <x:row r="33">
      <x:c r="A33" s="34" t="str">
        <x:v>POR-010</x:v>
      </x:c>
      <x:c r="B33" s="34" t="str">
        <x:v>MUST</x:v>
      </x:c>
      <x:c r="C33" s="34" t="str">
        <x:v>Every study release is verified after copy and extraction, not only in the build directory.</x:v>
      </x:c>
      <x:c r="D33" s="34" t="str">
        <x:v>P8.7</x:v>
      </x:c>
      <x:c r="E33" s="34" t="str">
        <x:v>release smoke test</x:v>
      </x:c>
      <x:c r="F33" s="34" t="str">
        <x:v>ELTS architecture specification</x:v>
      </x:c>
      <x:c r="G33" s="34" t="str">
        <x:v>baseline</x:v>
      </x:c>
      <x:c r="H33" s="34" t="str"/>
      <x:c r="I33" s="34" t="str"/>
    </x:row>
    <x:row r="34">
      <x:c r="A34" s="10" t="str">
        <x:v>CFG-001</x:v>
      </x:c>
      <x:c r="B34" s="10" t="str">
        <x:v>MUST</x:v>
      </x:c>
      <x:c r="C34" s="10" t="str">
        <x:v>Every configuration type has a versioned JSON Schema.</x:v>
      </x:c>
      <x:c r="D34" s="10" t="str">
        <x:v>P0.3, P2.1</x:v>
      </x:c>
      <x:c r="E34" s="10" t="str">
        <x:v>schema CI</x:v>
      </x:c>
      <x:c r="F34" s="10" t="str">
        <x:v>ELTS architecture specification</x:v>
      </x:c>
      <x:c r="G34" s="10" t="str">
        <x:v>baseline</x:v>
      </x:c>
      <x:c r="H34" s="10" t="str"/>
      <x:c r="I34" s="10" t="str"/>
    </x:row>
    <x:row r="35">
      <x:c r="A35" s="34" t="str">
        <x:v>CFG-002</x:v>
      </x:c>
      <x:c r="B35" s="34" t="str">
        <x:v>MUST</x:v>
      </x:c>
      <x:c r="C35" s="34" t="str">
        <x:v>Unknown, missing, or mistyped required fields cause a precise startup failure.</x:v>
      </x:c>
      <x:c r="D35" s="34" t="str">
        <x:v>P2.1</x:v>
      </x:c>
      <x:c r="E35" s="34" t="str">
        <x:v>G2</x:v>
      </x:c>
      <x:c r="F35" s="34" t="str">
        <x:v>ELTS architecture specification</x:v>
      </x:c>
      <x:c r="G35" s="34" t="str">
        <x:v>baseline</x:v>
      </x:c>
      <x:c r="H35" s="34" t="str"/>
      <x:c r="I35" s="34" t="str"/>
    </x:row>
    <x:row r="36">
      <x:c r="A36" s="10" t="str">
        <x:v>CFG-003</x:v>
      </x:c>
      <x:c r="B36" s="10" t="str">
        <x:v>MUST</x:v>
      </x:c>
      <x:c r="C36" s="10" t="str">
        <x:v>Every effective configuration file is hashed and recorded in logs and build provenance.</x:v>
      </x:c>
      <x:c r="D36" s="10" t="str">
        <x:v>P2.1, P2.5, P8.7</x:v>
      </x:c>
      <x:c r="E36" s="10" t="str">
        <x:v>G2, G8</x:v>
      </x:c>
      <x:c r="F36" s="10" t="str">
        <x:v>ELTS architecture specification</x:v>
      </x:c>
      <x:c r="G36" s="10" t="str">
        <x:v>baseline</x:v>
      </x:c>
      <x:c r="H36" s="10" t="str"/>
      <x:c r="I36" s="10" t="str"/>
    </x:row>
    <x:row r="37">
      <x:c r="A37" s="34" t="str">
        <x:v>CFG-004</x:v>
      </x:c>
      <x:c r="B37" s="34" t="str">
        <x:v>MUST</x:v>
      </x:c>
      <x:c r="C37" s="34" t="str">
        <x:v>local.json is generated from a committed example and contains only whitelisted machine-local fields.</x:v>
      </x:c>
      <x:c r="D37" s="34" t="str">
        <x:v>P0.3, P3.5</x:v>
      </x:c>
      <x:c r="E37" s="34" t="str">
        <x:v>config validation</x:v>
      </x:c>
      <x:c r="F37" s="34" t="str">
        <x:v>ELTS architecture specification</x:v>
      </x:c>
      <x:c r="G37" s="34" t="str">
        <x:v>baseline</x:v>
      </x:c>
      <x:c r="H37" s="34" t="str"/>
      <x:c r="I37" s="34" t="str"/>
    </x:row>
    <x:row r="38">
      <x:c r="A38" s="10" t="str">
        <x:v>CFG-005</x:v>
      </x:c>
      <x:c r="B38" s="10" t="str">
        <x:v>MUST NOT</x:v>
      </x:c>
      <x:c r="C38" s="10" t="str">
        <x:v>local configuration, participant calibration, participant data, credentials, or machine secrets are committed.</x:v>
      </x:c>
      <x:c r="D38" s="10" t="str">
        <x:v>P0.3, P8.3</x:v>
      </x:c>
      <x:c r="E38" s="10" t="str">
        <x:v>repository-policy CI</x:v>
      </x:c>
      <x:c r="F38" s="10" t="str">
        <x:v>ELTS architecture specification</x:v>
      </x:c>
      <x:c r="G38" s="10" t="str">
        <x:v>baseline</x:v>
      </x:c>
      <x:c r="H38" s="10" t="str"/>
      <x:c r="I38" s="10" t="str"/>
    </x:row>
    <x:row r="39">
      <x:c r="A39" s="34" t="str">
        <x:v>CFG-006</x:v>
      </x:c>
      <x:c r="B39" s="34" t="str">
        <x:v>MUST NOT</x:v>
      </x:c>
      <x:c r="C39" s="34" t="str">
        <x:v>Study settings and machine-local settings are mixed in one layer.</x:v>
      </x:c>
      <x:c r="D39" s="34" t="str">
        <x:v>P0.3, P2.1</x:v>
      </x:c>
      <x:c r="E39" s="34" t="str">
        <x:v>schema review</x:v>
      </x:c>
      <x:c r="F39" s="34" t="str">
        <x:v>ELTS architecture specification</x:v>
      </x:c>
      <x:c r="G39" s="34" t="str">
        <x:v>baseline</x:v>
      </x:c>
      <x:c r="H39" s="34" t="str"/>
      <x:c r="I39" s="34" t="str"/>
    </x:row>
    <x:row r="40">
      <x:c r="A40" s="10" t="str">
        <x:v>CFG-007</x:v>
      </x:c>
      <x:c r="B40" s="10" t="str">
        <x:v>MUST</x:v>
      </x:c>
      <x:c r="C40" s="10" t="str">
        <x:v>A schema change increments a version and provides a migration or declares incompatibility.</x:v>
      </x:c>
      <x:c r="D40" s="10" t="str">
        <x:v>P2.1, P2.8</x:v>
      </x:c>
      <x:c r="E40" s="10" t="str">
        <x:v>compatibility tests</x:v>
      </x:c>
      <x:c r="F40" s="10" t="str">
        <x:v>ELTS architecture specification</x:v>
      </x:c>
      <x:c r="G40" s="10" t="str">
        <x:v>baseline</x:v>
      </x:c>
      <x:c r="H40" s="10" t="str"/>
      <x:c r="I40" s="10" t="str"/>
    </x:row>
    <x:row r="41">
      <x:c r="A41" s="34" t="str">
        <x:v>CFG-008</x:v>
      </x:c>
      <x:c r="B41" s="34" t="str">
        <x:v>MUST</x:v>
      </x:c>
      <x:c r="C41" s="34" t="str">
        <x:v>Configuration precedence is deterministic and documented.</x:v>
      </x:c>
      <x:c r="D41" s="34" t="str">
        <x:v>P0.3, P2.1</x:v>
      </x:c>
      <x:c r="E41" s="34" t="str">
        <x:v>configuration tests</x:v>
      </x:c>
      <x:c r="F41" s="34" t="str">
        <x:v>ELTS architecture specification</x:v>
      </x:c>
      <x:c r="G41" s="34" t="str">
        <x:v>baseline</x:v>
      </x:c>
      <x:c r="H41" s="34" t="str"/>
      <x:c r="I41" s="34" t="str"/>
    </x:row>
    <x:row r="42">
      <x:c r="A42" s="10" t="str">
        <x:v>CFG-009</x:v>
      </x:c>
      <x:c r="B42" s="10" t="str">
        <x:v>MUST</x:v>
      </x:c>
      <x:c r="C42" s="10" t="str">
        <x:v>The operator can inspect effective configuration and hashes before a session.</x:v>
      </x:c>
      <x:c r="D42" s="10" t="str">
        <x:v>P4.11, P4.12</x:v>
      </x:c>
      <x:c r="E42" s="10" t="str">
        <x:v>G4</x:v>
      </x:c>
      <x:c r="F42" s="10" t="str">
        <x:v>ELTS architecture specification</x:v>
      </x:c>
      <x:c r="G42" s="10" t="str">
        <x:v>baseline</x:v>
      </x:c>
      <x:c r="H42" s="10" t="str"/>
      <x:c r="I42" s="10" t="str"/>
    </x:row>
    <x:row r="43">
      <x:c r="A43" s="34" t="str">
        <x:v>CFG-010</x:v>
      </x:c>
      <x:c r="B43" s="34" t="str">
        <x:v>MUST</x:v>
      </x:c>
      <x:c r="C43" s="34" t="str">
        <x:v>A frozen study configuration change during data collection creates a new tag and study-log entry.</x:v>
      </x:c>
      <x:c r="D43" s="34" t="str">
        <x:v>P8.7</x:v>
      </x:c>
      <x:c r="E43" s="34" t="str">
        <x:v>release policy</x:v>
      </x:c>
      <x:c r="F43" s="34" t="str">
        <x:v>ELTS architecture specification</x:v>
      </x:c>
      <x:c r="G43" s="34" t="str">
        <x:v>baseline</x:v>
      </x:c>
      <x:c r="H43" s="34" t="str"/>
      <x:c r="I43" s="34" t="str"/>
    </x:row>
    <x:row r="44">
      <x:c r="A44" s="10" t="str">
        <x:v>REP-001</x:v>
      </x:c>
      <x:c r="B44" s="10" t="str">
        <x:v>MUST</x:v>
      </x:c>
      <x:c r="C44" s="10" t="str">
        <x:v>The system uses one monorepo for Unity, Jetson, analysis, config, tooling, documentation, and governance.</x:v>
      </x:c>
      <x:c r="D44" s="10" t="str">
        <x:v>P0.3</x:v>
      </x:c>
      <x:c r="E44" s="10" t="str">
        <x:v>repository layout check</x:v>
      </x:c>
      <x:c r="F44" s="10" t="str">
        <x:v>ELTS architecture specification</x:v>
      </x:c>
      <x:c r="G44" s="10" t="str">
        <x:v>baseline</x:v>
      </x:c>
      <x:c r="H44" s="10" t="str"/>
      <x:c r="I44" s="10" t="str"/>
    </x:row>
    <x:row r="45">
      <x:c r="A45" s="34" t="str">
        <x:v>REP-002</x:v>
      </x:c>
      <x:c r="B45" s="34" t="str">
        <x:v>MUST</x:v>
      </x:c>
      <x:c r="C45" s="34" t="str">
        <x:v>Root config is the sole hand-edited source; Unity StreamingAssets receives a generated staged copy.</x:v>
      </x:c>
      <x:c r="D45" s="34" t="str">
        <x:v>P0.3, P2.1</x:v>
      </x:c>
      <x:c r="E45" s="34" t="str">
        <x:v>config divergence CI</x:v>
      </x:c>
      <x:c r="F45" s="34" t="str">
        <x:v>ELTS architecture specification</x:v>
      </x:c>
      <x:c r="G45" s="34" t="str">
        <x:v>baseline</x:v>
      </x:c>
      <x:c r="H45" s="34" t="str"/>
      <x:c r="I45" s="34" t="str"/>
    </x:row>
    <x:row r="46">
      <x:c r="A46" s="10" t="str">
        <x:v>REP-003</x:v>
      </x:c>
      <x:c r="B46" s="10" t="str">
        <x:v>SHOULD NOT</x:v>
      </x:c>
      <x:c r="C46" s="10" t="str">
        <x:v>Git submodules are used before study-v1.0.</x:v>
      </x:c>
      <x:c r="D46" s="10" t="str">
        <x:v>P0.3</x:v>
      </x:c>
      <x:c r="E46" s="10" t="str">
        <x:v>repository policy</x:v>
      </x:c>
      <x:c r="F46" s="10" t="str">
        <x:v>ELTS architecture specification</x:v>
      </x:c>
      <x:c r="G46" s="10" t="str">
        <x:v>baseline</x:v>
      </x:c>
      <x:c r="H46" s="10" t="str"/>
      <x:c r="I46" s="10" t="str"/>
    </x:row>
    <x:row r="47">
      <x:c r="A47" s="34" t="str">
        <x:v>REP-004</x:v>
      </x:c>
      <x:c r="B47" s="34" t="str">
        <x:v>MUST</x:v>
      </x:c>
      <x:c r="C47" s="34" t="str">
        <x:v>Vendored OpenVR files include upstream version, license, and checksums.</x:v>
      </x:c>
      <x:c r="D47" s="34" t="str">
        <x:v>P0.3</x:v>
      </x:c>
      <x:c r="E47" s="34" t="str">
        <x:v>third-party audit</x:v>
      </x:c>
      <x:c r="F47" s="34" t="str">
        <x:v>ELTS architecture specification</x:v>
      </x:c>
      <x:c r="G47" s="34" t="str">
        <x:v>baseline</x:v>
      </x:c>
      <x:c r="H47" s="34" t="str"/>
      <x:c r="I47" s="34" t="str"/>
    </x:row>
    <x:row r="48">
      <x:c r="A48" s="10" t="str">
        <x:v>REP-005</x:v>
      </x:c>
      <x:c r="B48" s="10" t="str">
        <x:v>MUST</x:v>
      </x:c>
      <x:c r="C48" s="10" t="str">
        <x:v>Unity ProjectSettings, package manifests, lockfiles, and all .meta files are committed.</x:v>
      </x:c>
      <x:c r="D48" s="10" t="str">
        <x:v>P0.3</x:v>
      </x:c>
      <x:c r="E48" s="10" t="str">
        <x:v>Unity policy check</x:v>
      </x:c>
      <x:c r="F48" s="10" t="str">
        <x:v>ELTS architecture specification</x:v>
      </x:c>
      <x:c r="G48" s="10" t="str">
        <x:v>baseline</x:v>
      </x:c>
      <x:c r="H48" s="10" t="str"/>
      <x:c r="I48" s="10" t="str"/>
    </x:row>
    <x:row r="49">
      <x:c r="A49" s="34" t="str">
        <x:v>REP-006</x:v>
      </x:c>
      <x:c r="B49" s="34" t="str">
        <x:v>MUST NOT</x:v>
      </x:c>
      <x:c r="C49" s="34" t="str">
        <x:v>Unity Library, Temp, Logs, obj, Build, Builds, or UserSettings directories are committed.</x:v>
      </x:c>
      <x:c r="D49" s="34" t="str">
        <x:v>P0.3</x:v>
      </x:c>
      <x:c r="E49" s="34" t="str">
        <x:v>repository-policy CI</x:v>
      </x:c>
      <x:c r="F49" s="34" t="str">
        <x:v>ELTS architecture specification</x:v>
      </x:c>
      <x:c r="G49" s="34" t="str">
        <x:v>baseline</x:v>
      </x:c>
      <x:c r="H49" s="34" t="str"/>
      <x:c r="I49" s="34" t="str"/>
    </x:row>
    <x:row r="50">
      <x:c r="A50" s="10" t="str">
        <x:v>REP-007</x:v>
      </x:c>
      <x:c r="B50" s="10" t="str">
        <x:v>MUST</x:v>
      </x:c>
      <x:c r="C50" s="10" t="str">
        <x:v>Binary baseline artifacts also receive diffable normalized exports for agents and review.</x:v>
      </x:c>
      <x:c r="D50" s="10" t="str">
        <x:v>P0.3</x:v>
      </x:c>
      <x:c r="E50" s="10" t="str">
        <x:v>ID and hash reconciliation</x:v>
      </x:c>
      <x:c r="F50" s="10" t="str">
        <x:v>ELTS architecture specification</x:v>
      </x:c>
      <x:c r="G50" s="10" t="str">
        <x:v>baseline</x:v>
      </x:c>
      <x:c r="H50" s="10" t="str"/>
      <x:c r="I50" s="10" t="str"/>
    </x:row>
    <x:row r="51">
      <x:c r="A51" s="34" t="str">
        <x:v>REP-008</x:v>
      </x:c>
      <x:c r="B51" s="34" t="str">
        <x:v>MUST</x:v>
      </x:c>
      <x:c r="C51" s="34" t="str">
        <x:v>Repository paths and scripts use portable relative resolution from the repository or release root.</x:v>
      </x:c>
      <x:c r="D51" s="34" t="str">
        <x:v>P0.3</x:v>
      </x:c>
      <x:c r="E51" s="34" t="str">
        <x:v>path portability test</x:v>
      </x:c>
      <x:c r="F51" s="34" t="str">
        <x:v>ELTS architecture specification</x:v>
      </x:c>
      <x:c r="G51" s="34" t="str">
        <x:v>baseline</x:v>
      </x:c>
      <x:c r="H51" s="34" t="str"/>
      <x:c r="I51" s="34" t="str"/>
    </x:row>
    <x:row r="52">
      <x:c r="A52" s="10" t="str">
        <x:v>BUILD-001</x:v>
      </x:c>
      <x:c r="B52" s="10" t="str">
        <x:v>MUST</x:v>
      </x:c>
      <x:c r="C52" s="10" t="str">
        <x:v>The exact Unity 6 LTS editor version is pinned and checked.</x:v>
      </x:c>
      <x:c r="D52" s="10" t="str">
        <x:v>P0.3</x:v>
      </x:c>
      <x:c r="E52" s="10" t="str">
        <x:v>doctor and build log</x:v>
      </x:c>
      <x:c r="F52" s="10" t="str">
        <x:v>ELTS architecture specification</x:v>
      </x:c>
      <x:c r="G52" s="10" t="str">
        <x:v>baseline</x:v>
      </x:c>
      <x:c r="H52" s="10" t="str"/>
      <x:c r="I52" s="10" t="str"/>
    </x:row>
    <x:row r="53">
      <x:c r="A53" s="34" t="str">
        <x:v>BUILD-002</x:v>
      </x:c>
      <x:c r="B53" s="34" t="str">
        <x:v>MUST</x:v>
      </x:c>
      <x:c r="C53" s="34" t="str">
        <x:v>Unity and Python dependencies are locked with committed lockfiles.</x:v>
      </x:c>
      <x:c r="D53" s="34" t="str">
        <x:v>P0.3, P2.8</x:v>
      </x:c>
      <x:c r="E53" s="34" t="str">
        <x:v>lockfile CI</x:v>
      </x:c>
      <x:c r="F53" s="34" t="str">
        <x:v>ELTS architecture specification</x:v>
      </x:c>
      <x:c r="G53" s="34" t="str">
        <x:v>baseline</x:v>
      </x:c>
      <x:c r="H53" s="34" t="str"/>
      <x:c r="I53" s="34" t="str"/>
    </x:row>
    <x:row r="54">
      <x:c r="A54" s="10" t="str">
        <x:v>BUILD-003</x:v>
      </x:c>
      <x:c r="B54" s="10" t="str">
        <x:v>MUST</x:v>
      </x:c>
      <x:c r="C54" s="10" t="str">
        <x:v>Study releases are built from a clean Git worktree.</x:v>
      </x:c>
      <x:c r="D54" s="10" t="str">
        <x:v>P8.7</x:v>
      </x:c>
      <x:c r="E54" s="10" t="str">
        <x:v>release workflow</x:v>
      </x:c>
      <x:c r="F54" s="10" t="str">
        <x:v>ELTS architecture specification</x:v>
      </x:c>
      <x:c r="G54" s="10" t="str">
        <x:v>baseline</x:v>
      </x:c>
      <x:c r="H54" s="10" t="str"/>
      <x:c r="I54" s="10" t="str"/>
    </x:row>
    <x:row r="55">
      <x:c r="A55" s="34" t="str">
        <x:v>BUILD-004</x:v>
      </x:c>
      <x:c r="B55" s="34" t="str">
        <x:v>MUST</x:v>
      </x:c>
      <x:c r="C55" s="34" t="str">
        <x:v>Dirty development builds identify themselves and cannot be used for participant data collection.</x:v>
      </x:c>
      <x:c r="D55" s="34" t="str">
        <x:v>P0.3, P8.7</x:v>
      </x:c>
      <x:c r="E55" s="34" t="str">
        <x:v>build metadata check</x:v>
      </x:c>
      <x:c r="F55" s="34" t="str">
        <x:v>ELTS architecture specification</x:v>
      </x:c>
      <x:c r="G55" s="34" t="str">
        <x:v>baseline</x:v>
      </x:c>
      <x:c r="H55" s="34" t="str"/>
      <x:c r="I55" s="34" t="str"/>
    </x:row>
    <x:row r="56">
      <x:c r="A56" s="10" t="str">
        <x:v>BUILD-005</x:v>
      </x:c>
      <x:c r="B56" s="10" t="str">
        <x:v>MUST</x:v>
      </x:c>
      <x:c r="C56" s="10" t="str">
        <x:v>The build records tag, commit, versions, schemas, configuration hashes, target, UTC, and artifact checksum.</x:v>
      </x:c>
      <x:c r="D56" s="10" t="str">
        <x:v>P0.3, P8.7</x:v>
      </x:c>
      <x:c r="E56" s="10" t="str">
        <x:v>build-info validation</x:v>
      </x:c>
      <x:c r="F56" s="10" t="str">
        <x:v>ELTS architecture specification</x:v>
      </x:c>
      <x:c r="G56" s="10" t="str">
        <x:v>baseline</x:v>
      </x:c>
      <x:c r="H56" s="10" t="str"/>
      <x:c r="I56" s="10" t="str"/>
    </x:row>
    <x:row r="57">
      <x:c r="A57" s="34" t="str">
        <x:v>BUILD-006</x:v>
      </x:c>
      <x:c r="B57" s="34" t="str">
        <x:v>MUST</x:v>
      </x:c>
      <x:c r="C57" s="34" t="str">
        <x:v>The release contains FIRST-RUN, CHECK-SYSTEM, START-ELTS, operator docs, licenses, build-info, and MANIFEST.sha256.</x:v>
      </x:c>
      <x:c r="D57" s="34" t="str">
        <x:v>P8.7</x:v>
      </x:c>
      <x:c r="E57" s="34" t="str">
        <x:v>release layout test</x:v>
      </x:c>
      <x:c r="F57" s="34" t="str">
        <x:v>ELTS architecture specification</x:v>
      </x:c>
      <x:c r="G57" s="34" t="str">
        <x:v>baseline</x:v>
      </x:c>
      <x:c r="H57" s="34" t="str"/>
      <x:c r="I57" s="34" t="str"/>
    </x:row>
    <x:row r="58">
      <x:c r="A58" s="10" t="str">
        <x:v>BUILD-007</x:v>
      </x:c>
      <x:c r="B58" s="10" t="str">
        <x:v>MUST</x:v>
      </x:c>
      <x:c r="C58" s="10" t="str">
        <x:v>CI specifies an explicit Unity build target or profile for reliable command-line builds.</x:v>
      </x:c>
      <x:c r="D58" s="10" t="str">
        <x:v>P0.3</x:v>
      </x:c>
      <x:c r="E58" s="10" t="str">
        <x:v>Unity CI</x:v>
      </x:c>
      <x:c r="F58" s="10" t="str">
        <x:v>ELTS architecture specification</x:v>
      </x:c>
      <x:c r="G58" s="10" t="str">
        <x:v>baseline</x:v>
      </x:c>
      <x:c r="H58" s="10" t="str"/>
      <x:c r="I58" s="10" t="str"/>
    </x:row>
    <x:row r="59">
      <x:c r="A59" s="34" t="str">
        <x:v>BUILD-008</x:v>
      </x:c>
      <x:c r="B59" s="34" t="str">
        <x:v>MUST</x:v>
      </x:c>
      <x:c r="C59" s="34" t="str">
        <x:v>Reproducibility claims are functional and provenance-based unless bit-for-bit determinism is separately proven.</x:v>
      </x:c>
      <x:c r="D59" s="34" t="str">
        <x:v>P0.3, P8.7</x:v>
      </x:c>
      <x:c r="E59" s="34" t="str">
        <x:v>release documentation</x:v>
      </x:c>
      <x:c r="F59" s="34" t="str">
        <x:v>ELTS architecture specification</x:v>
      </x:c>
      <x:c r="G59" s="34" t="str">
        <x:v>baseline</x:v>
      </x:c>
      <x:c r="H59" s="34" t="str"/>
      <x:c r="I59" s="34" t="str"/>
    </x:row>
    <x:row r="60">
      <x:c r="A60" s="10" t="str">
        <x:v>GIT-001</x:v>
      </x:c>
      <x:c r="B60" s="10" t="str">
        <x:v>MUST</x:v>
      </x:c>
      <x:c r="C60" s="10" t="str">
        <x:v>main represents coherent, tested, documented work.</x:v>
      </x:c>
      <x:c r="D60" s="10" t="str">
        <x:v>P0.3</x:v>
      </x:c>
      <x:c r="E60" s="10" t="str">
        <x:v>protected ruleset</x:v>
      </x:c>
      <x:c r="F60" s="10" t="str">
        <x:v>ELTS architecture specification</x:v>
      </x:c>
      <x:c r="G60" s="10" t="str">
        <x:v>baseline</x:v>
      </x:c>
      <x:c r="H60" s="10" t="str"/>
      <x:c r="I60" s="10" t="str"/>
    </x:row>
    <x:row r="61">
      <x:c r="A61" s="34" t="str">
        <x:v>GIT-002</x:v>
      </x:c>
      <x:c r="B61" s="34" t="str">
        <x:v>MUST</x:v>
      </x:c>
      <x:c r="C61" s="34" t="str">
        <x:v>Normal changes reach main through a pull request and required checks.</x:v>
      </x:c>
      <x:c r="D61" s="34" t="str">
        <x:v>P0.3</x:v>
      </x:c>
      <x:c r="E61" s="34" t="str">
        <x:v>ruleset</x:v>
      </x:c>
      <x:c r="F61" s="34" t="str">
        <x:v>ELTS architecture specification</x:v>
      </x:c>
      <x:c r="G61" s="34" t="str">
        <x:v>baseline</x:v>
      </x:c>
      <x:c r="H61" s="34" t="str"/>
      <x:c r="I61" s="34" t="str"/>
    </x:row>
    <x:row r="62">
      <x:c r="A62" s="10" t="str">
        <x:v>GIT-003</x:v>
      </x:c>
      <x:c r="B62" s="10" t="str">
        <x:v>MUST</x:v>
      </x:c>
      <x:c r="C62" s="10" t="str">
        <x:v>One task maps to one temporary branch and one active owner.</x:v>
      </x:c>
      <x:c r="D62" s="10" t="str">
        <x:v>P0.3</x:v>
      </x:c>
      <x:c r="E62" s="10" t="str">
        <x:v>progress validator</x:v>
      </x:c>
      <x:c r="F62" s="10" t="str">
        <x:v>ELTS architecture specification</x:v>
      </x:c>
      <x:c r="G62" s="10" t="str">
        <x:v>baseline</x:v>
      </x:c>
      <x:c r="H62" s="10" t="str"/>
      <x:c r="I62" s="10" t="str"/>
    </x:row>
    <x:row r="63">
      <x:c r="A63" s="34" t="str">
        <x:v>GIT-004</x:v>
      </x:c>
      <x:c r="B63" s="34" t="str">
        <x:v>SHOULD</x:v>
      </x:c>
      <x:c r="C63" s="34" t="str">
        <x:v>Pull requests use squash merge and merged branches are deleted.</x:v>
      </x:c>
      <x:c r="D63" s="34" t="str">
        <x:v>P0.3</x:v>
      </x:c>
      <x:c r="E63" s="34" t="str">
        <x:v>repository settings</x:v>
      </x:c>
      <x:c r="F63" s="34" t="str">
        <x:v>ELTS architecture specification</x:v>
      </x:c>
      <x:c r="G63" s="34" t="str">
        <x:v>baseline</x:v>
      </x:c>
      <x:c r="H63" s="34" t="str"/>
      <x:c r="I63" s="34" t="str"/>
    </x:row>
    <x:row r="64">
      <x:c r="A64" s="10" t="str">
        <x:v>GIT-005</x:v>
      </x:c>
      <x:c r="B64" s="10" t="str">
        <x:v>MUST NOT</x:v>
      </x:c>
      <x:c r="C64" s="10" t="str">
        <x:v>The same task branch is edited simultaneously on multiple machines.</x:v>
      </x:c>
      <x:c r="D64" s="10" t="str">
        <x:v>P0.3</x:v>
      </x:c>
      <x:c r="E64" s="10" t="str">
        <x:v>contribution policy</x:v>
      </x:c>
      <x:c r="F64" s="10" t="str">
        <x:v>ELTS architecture specification</x:v>
      </x:c>
      <x:c r="G64" s="10" t="str">
        <x:v>baseline</x:v>
      </x:c>
      <x:c r="H64" s="10" t="str"/>
      <x:c r="I64" s="10" t="str"/>
    </x:row>
    <x:row r="65">
      <x:c r="A65" s="34" t="str">
        <x:v>GIT-006</x:v>
      </x:c>
      <x:c r="B65" s="34" t="str">
        <x:v>MUST</x:v>
      </x:c>
      <x:c r="C65" s="34" t="str">
        <x:v>A conflict is resolved deliberately and all affected checks are rerun.</x:v>
      </x:c>
      <x:c r="D65" s="34" t="str">
        <x:v>P0.3</x:v>
      </x:c>
      <x:c r="E65" s="34" t="str">
        <x:v>review checklist</x:v>
      </x:c>
      <x:c r="F65" s="34" t="str">
        <x:v>ELTS architecture specification</x:v>
      </x:c>
      <x:c r="G65" s="34" t="str">
        <x:v>baseline</x:v>
      </x:c>
      <x:c r="H65" s="34" t="str"/>
      <x:c r="I65" s="34" t="str"/>
    </x:row>
    <x:row r="66">
      <x:c r="A66" s="10" t="str">
        <x:v>GIT-007</x:v>
      </x:c>
      <x:c r="B66" s="10" t="str">
        <x:v>MUST NOT</x:v>
      </x:c>
      <x:c r="C66" s="10" t="str">
        <x:v>Force pushes or deletion of main are allowed.</x:v>
      </x:c>
      <x:c r="D66" s="10" t="str">
        <x:v>P0.3</x:v>
      </x:c>
      <x:c r="E66" s="10" t="str">
        <x:v>ruleset</x:v>
      </x:c>
      <x:c r="F66" s="10" t="str">
        <x:v>ELTS architecture specification</x:v>
      </x:c>
      <x:c r="G66" s="10" t="str">
        <x:v>baseline</x:v>
      </x:c>
      <x:c r="H66" s="10" t="str"/>
      <x:c r="I66" s="10" t="str"/>
    </x:row>
    <x:row r="67">
      <x:c r="A67" s="34" t="str">
        <x:v>GIT-008</x:v>
      </x:c>
      <x:c r="B67" s="34" t="str">
        <x:v>MUST</x:v>
      </x:c>
      <x:c r="C67" s="34" t="str">
        <x:v>Safety, invariants, frozen configuration, and study release tags receive human approval.</x:v>
      </x:c>
      <x:c r="D67" s="34" t="str">
        <x:v>P6.8, P7.8, P8.7</x:v>
      </x:c>
      <x:c r="E67" s="34" t="str">
        <x:v>protected review</x:v>
      </x:c>
      <x:c r="F67" s="34" t="str">
        <x:v>ELTS architecture specification</x:v>
      </x:c>
      <x:c r="G67" s="34" t="str">
        <x:v>baseline</x:v>
      </x:c>
      <x:c r="H67" s="34" t="str"/>
      <x:c r="I67" s="34" t="str"/>
    </x:row>
    <x:row r="68">
      <x:c r="A68" s="10" t="str">
        <x:v>AI-001</x:v>
      </x:c>
      <x:c r="B68" s="10" t="str">
        <x:v>MUST</x:v>
      </x:c>
      <x:c r="C68" s="10" t="str">
        <x:v>An agent reads the canonical instruction chain before editing.</x:v>
      </x:c>
      <x:c r="D68" s="10" t="str">
        <x:v>P0.3</x:v>
      </x:c>
      <x:c r="E68" s="10" t="str">
        <x:v>handoff and PR checklist</x:v>
      </x:c>
      <x:c r="F68" s="10" t="str">
        <x:v>ELTS architecture specification</x:v>
      </x:c>
      <x:c r="G68" s="10" t="str">
        <x:v>baseline</x:v>
      </x:c>
      <x:c r="H68" s="10" t="str"/>
      <x:c r="I68" s="10" t="str"/>
    </x:row>
    <x:row r="69">
      <x:c r="A69" s="34" t="str">
        <x:v>AI-002</x:v>
      </x:c>
      <x:c r="B69" s="34" t="str">
        <x:v>MUST</x:v>
      </x:c>
      <x:c r="C69" s="34" t="str">
        <x:v>An agent inspects PROJECT_STATE.json and its assigned atomic-step row before work.</x:v>
      </x:c>
      <x:c r="D69" s="34" t="str">
        <x:v>P0.3</x:v>
      </x:c>
      <x:c r="E69" s="34" t="str">
        <x:v>progress event validation</x:v>
      </x:c>
      <x:c r="F69" s="34" t="str">
        <x:v>ELTS architecture specification</x:v>
      </x:c>
      <x:c r="G69" s="34" t="str">
        <x:v>baseline</x:v>
      </x:c>
      <x:c r="H69" s="34" t="str"/>
      <x:c r="I69" s="34" t="str"/>
    </x:row>
    <x:row r="70">
      <x:c r="A70" s="10" t="str">
        <x:v>AI-003</x:v>
      </x:c>
      <x:c r="B70" s="10" t="str">
        <x:v>MUST</x:v>
      </x:c>
      <x:c r="C70" s="10" t="str">
        <x:v>An agent declares task, branch, owner, scope, claimed paths, and stop conditions.</x:v>
      </x:c>
      <x:c r="D70" s="10" t="str">
        <x:v>P0.3</x:v>
      </x:c>
      <x:c r="E70" s="10" t="str">
        <x:v>task_started event</x:v>
      </x:c>
      <x:c r="F70" s="10" t="str">
        <x:v>ELTS architecture specification</x:v>
      </x:c>
      <x:c r="G70" s="10" t="str">
        <x:v>baseline</x:v>
      </x:c>
      <x:c r="H70" s="10" t="str"/>
      <x:c r="I70" s="10" t="str"/>
    </x:row>
    <x:row r="71">
      <x:c r="A71" s="34" t="str">
        <x:v>AI-004</x:v>
      </x:c>
      <x:c r="B71" s="34" t="str">
        <x:v>MUST NOT</x:v>
      </x:c>
      <x:c r="C71" s="34" t="str">
        <x:v>An agent changes unrelated files merely to clean up the repository.</x:v>
      </x:c>
      <x:c r="D71" s="34" t="str">
        <x:v>P0.3</x:v>
      </x:c>
      <x:c r="E71" s="34" t="str">
        <x:v>review</x:v>
      </x:c>
      <x:c r="F71" s="34" t="str">
        <x:v>ELTS architecture specification</x:v>
      </x:c>
      <x:c r="G71" s="34" t="str">
        <x:v>baseline</x:v>
      </x:c>
      <x:c r="H71" s="34" t="str"/>
      <x:c r="I71" s="34" t="str"/>
    </x:row>
    <x:row r="72">
      <x:c r="A72" s="10" t="str">
        <x:v>AI-005</x:v>
      </x:c>
      <x:c r="B72" s="10" t="str">
        <x:v>MUST NOT</x:v>
      </x:c>
      <x:c r="C72" s="10" t="str">
        <x:v>An agent invents values for unresolved D-01 through D-18 decisions.</x:v>
      </x:c>
      <x:c r="D72" s="10" t="str">
        <x:v>P0.3:P8.1</x:v>
      </x:c>
      <x:c r="E72" s="10" t="str">
        <x:v>decision validation</x:v>
      </x:c>
      <x:c r="F72" s="10" t="str">
        <x:v>ELTS architecture specification</x:v>
      </x:c>
      <x:c r="G72" s="10" t="str">
        <x:v>baseline</x:v>
      </x:c>
      <x:c r="H72" s="10" t="str"/>
      <x:c r="I72" s="10" t="str"/>
    </x:row>
    <x:row r="73">
      <x:c r="A73" s="34" t="str">
        <x:v>AI-006</x:v>
      </x:c>
      <x:c r="B73" s="34" t="str">
        <x:v>MUST</x:v>
      </x:c>
      <x:c r="C73" s="34" t="str">
        <x:v>An invariant or authority conflict becomes a recorded blocker for human resolution.</x:v>
      </x:c>
      <x:c r="D73" s="34" t="str">
        <x:v>P0.3</x:v>
      </x:c>
      <x:c r="E73" s="34" t="str">
        <x:v>blocked event</x:v>
      </x:c>
      <x:c r="F73" s="34" t="str">
        <x:v>ELTS architecture specification</x:v>
      </x:c>
      <x:c r="G73" s="34" t="str">
        <x:v>baseline</x:v>
      </x:c>
      <x:c r="H73" s="34" t="str"/>
      <x:c r="I73" s="34" t="str"/>
    </x:row>
    <x:row r="74">
      <x:c r="A74" s="10" t="str">
        <x:v>AI-007</x:v>
      </x:c>
      <x:c r="B74" s="10" t="str">
        <x:v>MUST</x:v>
      </x:c>
      <x:c r="C74" s="10" t="str">
        <x:v>Agents preserve user changes and avoid destructive Git operations.</x:v>
      </x:c>
      <x:c r="D74" s="10" t="str">
        <x:v>P0.3</x:v>
      </x:c>
      <x:c r="E74" s="10" t="str">
        <x:v>review</x:v>
      </x:c>
      <x:c r="F74" s="10" t="str">
        <x:v>ELTS architecture specification</x:v>
      </x:c>
      <x:c r="G74" s="10" t="str">
        <x:v>baseline</x:v>
      </x:c>
      <x:c r="H74" s="10" t="str"/>
      <x:c r="I74" s="10" t="str"/>
    </x:row>
    <x:row r="75">
      <x:c r="A75" s="34" t="str">
        <x:v>AI-008</x:v>
      </x:c>
      <x:c r="B75" s="34" t="str">
        <x:v>MUST</x:v>
      </x:c>
      <x:c r="C75" s="34" t="str">
        <x:v>Interface, schema, configuration, or observable behavior changes update tests and documentation in the same pull request.</x:v>
      </x:c>
      <x:c r="D75" s="34" t="str">
        <x:v>all implementation tasks</x:v>
      </x:c>
      <x:c r="E75" s="34" t="str">
        <x:v>PR checklist</x:v>
      </x:c>
      <x:c r="F75" s="34" t="str">
        <x:v>ELTS architecture specification</x:v>
      </x:c>
      <x:c r="G75" s="34" t="str">
        <x:v>baseline</x:v>
      </x:c>
      <x:c r="H75" s="34" t="str"/>
      <x:c r="I75" s="34" t="str"/>
    </x:row>
    <x:row r="76">
      <x:c r="A76" s="10" t="str">
        <x:v>AI-009</x:v>
      </x:c>
      <x:c r="B76" s="10" t="str">
        <x:v>MUST NOT</x:v>
      </x:c>
      <x:c r="C76" s="10" t="str">
        <x:v>Work is marked done without required evidence.</x:v>
      </x:c>
      <x:c r="D76" s="10" t="str">
        <x:v>all tasks</x:v>
      </x:c>
      <x:c r="E76" s="10" t="str">
        <x:v>state reducer</x:v>
      </x:c>
      <x:c r="F76" s="10" t="str">
        <x:v>ELTS architecture specification</x:v>
      </x:c>
      <x:c r="G76" s="10" t="str">
        <x:v>baseline</x:v>
      </x:c>
      <x:c r="H76" s="10" t="str"/>
      <x:c r="I76" s="10" t="str"/>
    </x:row>
    <x:row r="77">
      <x:c r="A77" s="34" t="str">
        <x:v>AI-010</x:v>
      </x:c>
      <x:c r="B77" s="34" t="str">
        <x:v>MUST</x:v>
      </x:c>
      <x:c r="C77" s="34" t="str">
        <x:v>Agents record commands and checks run, results, and evidence paths.</x:v>
      </x:c>
      <x:c r="D77" s="34" t="str">
        <x:v>all tasks</x:v>
      </x:c>
      <x:c r="E77" s="34" t="str">
        <x:v>verification event</x:v>
      </x:c>
      <x:c r="F77" s="34" t="str">
        <x:v>ELTS architecture specification</x:v>
      </x:c>
      <x:c r="G77" s="34" t="str">
        <x:v>baseline</x:v>
      </x:c>
      <x:c r="H77" s="34" t="str"/>
      <x:c r="I77" s="34" t="str"/>
    </x:row>
    <x:row r="78">
      <x:c r="A78" s="10" t="str">
        <x:v>AI-011</x:v>
      </x:c>
      <x:c r="B78" s="10" t="str">
        <x:v>MUST NOT</x:v>
      </x:c>
      <x:c r="C78" s="10" t="str">
        <x:v>An agent merges or releases its own work without required human authority.</x:v>
      </x:c>
      <x:c r="D78" s="10" t="str">
        <x:v>P0.3, P8.7</x:v>
      </x:c>
      <x:c r="E78" s="10" t="str">
        <x:v>ruleset</x:v>
      </x:c>
      <x:c r="F78" s="10" t="str">
        <x:v>ELTS architecture specification</x:v>
      </x:c>
      <x:c r="G78" s="10" t="str">
        <x:v>baseline</x:v>
      </x:c>
      <x:c r="H78" s="10" t="str"/>
      <x:c r="I78" s="10" t="str"/>
    </x:row>
    <x:row r="79">
      <x:c r="A79" s="34" t="str">
        <x:v>AI-012</x:v>
      </x:c>
      <x:c r="B79" s="34" t="str">
        <x:v>MUST NOT</x:v>
      </x:c>
      <x:c r="C79" s="34" t="str">
        <x:v>Two agents own the same task or branch concurrently.</x:v>
      </x:c>
      <x:c r="D79" s="34" t="str">
        <x:v>P0.3</x:v>
      </x:c>
      <x:c r="E79" s="34" t="str">
        <x:v>event-chain conflict check</x:v>
      </x:c>
      <x:c r="F79" s="34" t="str">
        <x:v>ELTS architecture specification</x:v>
      </x:c>
      <x:c r="G79" s="34" t="str">
        <x:v>baseline</x:v>
      </x:c>
      <x:c r="H79" s="34" t="str"/>
      <x:c r="I79" s="34" t="str"/>
    </x:row>
    <x:row r="80">
      <x:c r="A80" s="10" t="str">
        <x:v>AI-013</x:v>
      </x:c>
      <x:c r="B80" s="10" t="str">
        <x:v>SHOULD</x:v>
      </x:c>
      <x:c r="C80" s="10" t="str">
        <x:v>Parallel agents use separate worktrees and non-overlapping module scopes.</x:v>
      </x:c>
      <x:c r="D80" s="10" t="str">
        <x:v>P0.3</x:v>
      </x:c>
      <x:c r="E80" s="10" t="str">
        <x:v>coordination policy</x:v>
      </x:c>
      <x:c r="F80" s="10" t="str">
        <x:v>ELTS architecture specification</x:v>
      </x:c>
      <x:c r="G80" s="10" t="str">
        <x:v>baseline</x:v>
      </x:c>
      <x:c r="H80" s="10" t="str"/>
      <x:c r="I80" s="10" t="str"/>
    </x:row>
    <x:row r="81">
      <x:c r="A81" s="34" t="str">
        <x:v>AI-014</x:v>
      </x:c>
      <x:c r="B81" s="34" t="str">
        <x:v>MUST</x:v>
      </x:c>
      <x:c r="C81" s="34" t="str">
        <x:v>A handoff records completed work, remaining work, changed files, tests, risks, blockers, and next eligible step.</x:v>
      </x:c>
      <x:c r="D81" s="34" t="str">
        <x:v>P0.3</x:v>
      </x:c>
      <x:c r="E81" s="34" t="str">
        <x:v>handoff schema</x:v>
      </x:c>
      <x:c r="F81" s="34" t="str">
        <x:v>ELTS architecture specification</x:v>
      </x:c>
      <x:c r="G81" s="34" t="str">
        <x:v>baseline</x:v>
      </x:c>
      <x:c r="H81" s="34" t="str"/>
      <x:c r="I81" s="34" t="str"/>
    </x:row>
    <x:row r="82">
      <x:c r="A82" s="10" t="str">
        <x:v>AI-015</x:v>
      </x:c>
      <x:c r="B82" s="10" t="str">
        <x:v>MUST</x:v>
      </x:c>
      <x:c r="C82" s="10" t="str">
        <x:v>Trello and GitHub Issues are coordination mirrors; repository plan, events, evidence, and decisions remain canonical.</x:v>
      </x:c>
      <x:c r="D82" s="10" t="str">
        <x:v>P0.3, P0.4</x:v>
      </x:c>
      <x:c r="E82" s="10" t="str">
        <x:v>reconciliation check</x:v>
      </x:c>
      <x:c r="F82" s="10" t="str">
        <x:v>ELTS architecture specification</x:v>
      </x:c>
      <x:c r="G82" s="10" t="str">
        <x:v>baseline</x:v>
      </x:c>
      <x:c r="H82" s="10" t="str"/>
      <x:c r="I82" s="10" t="str"/>
    </x:row>
    <x:row r="83">
      <x:c r="A83" s="34" t="str">
        <x:v>STATE-001</x:v>
      </x:c>
      <x:c r="B83" s="34" t="str">
        <x:v>MUST</x:v>
      </x:c>
      <x:c r="C83" s="34" t="str">
        <x:v>The immutable workbook is normalized into a versioned task catalog with stable IDs.</x:v>
      </x:c>
      <x:c r="D83" s="34" t="str">
        <x:v>P0.3</x:v>
      </x:c>
      <x:c r="E83" s="34" t="str">
        <x:v>catalog schema</x:v>
      </x:c>
      <x:c r="F83" s="34" t="str">
        <x:v>ELTS architecture specification</x:v>
      </x:c>
      <x:c r="G83" s="34" t="str">
        <x:v>baseline</x:v>
      </x:c>
      <x:c r="H83" s="34" t="str"/>
      <x:c r="I83" s="34" t="str"/>
    </x:row>
    <x:row r="84">
      <x:c r="A84" s="10" t="str">
        <x:v>STATE-002</x:v>
      </x:c>
      <x:c r="B84" s="10" t="str">
        <x:v>MUST</x:v>
      </x:c>
      <x:c r="C84" s="10" t="str">
        <x:v>Progress changes are append-only events with unique IDs and actor, time, branch, transition, and evidence fields.</x:v>
      </x:c>
      <x:c r="D84" s="10" t="str">
        <x:v>P0.3</x:v>
      </x:c>
      <x:c r="E84" s="10" t="str">
        <x:v>event schema</x:v>
      </x:c>
      <x:c r="F84" s="10" t="str">
        <x:v>ELTS architecture specification</x:v>
      </x:c>
      <x:c r="G84" s="10" t="str">
        <x:v>baseline</x:v>
      </x:c>
      <x:c r="H84" s="10" t="str"/>
      <x:c r="I84" s="10" t="str"/>
    </x:row>
    <x:row r="85">
      <x:c r="A85" s="34" t="str">
        <x:v>STATE-003</x:v>
      </x:c>
      <x:c r="B85" s="34" t="str">
        <x:v>MUST</x:v>
      </x:c>
      <x:c r="C85" s="34" t="str">
        <x:v>PROJECT_STATE.json is generated deterministically from the task catalog and events.</x:v>
      </x:c>
      <x:c r="D85" s="34" t="str">
        <x:v>P0.3</x:v>
      </x:c>
      <x:c r="E85" s="34" t="str">
        <x:v>regeneration CI</x:v>
      </x:c>
      <x:c r="F85" s="34" t="str">
        <x:v>ELTS architecture specification</x:v>
      </x:c>
      <x:c r="G85" s="34" t="str">
        <x:v>baseline</x:v>
      </x:c>
      <x:c r="H85" s="34" t="str"/>
      <x:c r="I85" s="34" t="str"/>
    </x:row>
    <x:row r="86">
      <x:c r="A86" s="10" t="str">
        <x:v>STATE-004</x:v>
      </x:c>
      <x:c r="B86" s="10" t="str">
        <x:v>MUST NOT</x:v>
      </x:c>
      <x:c r="C86" s="10" t="str">
        <x:v>Agents hand-edit generated PROJECT_STATE.json after the reducer exists.</x:v>
      </x:c>
      <x:c r="D86" s="10" t="str">
        <x:v>P0.3</x:v>
      </x:c>
      <x:c r="E86" s="10" t="str">
        <x:v>regeneration CI</x:v>
      </x:c>
      <x:c r="F86" s="10" t="str">
        <x:v>ELTS architecture specification</x:v>
      </x:c>
      <x:c r="G86" s="10" t="str">
        <x:v>baseline</x:v>
      </x:c>
      <x:c r="H86" s="10" t="str"/>
      <x:c r="I86" s="10" t="str"/>
    </x:row>
    <x:row r="87">
      <x:c r="A87" s="34" t="str">
        <x:v>STATE-005</x:v>
      </x:c>
      <x:c r="B87" s="34" t="str">
        <x:v>MUST</x:v>
      </x:c>
      <x:c r="C87" s="34" t="str">
        <x:v>Task transitions follow the documented state machine and invalid transitions fail.</x:v>
      </x:c>
      <x:c r="D87" s="34" t="str">
        <x:v>P0.3</x:v>
      </x:c>
      <x:c r="E87" s="34" t="str">
        <x:v>reducer tests</x:v>
      </x:c>
      <x:c r="F87" s="34" t="str">
        <x:v>ELTS architecture specification</x:v>
      </x:c>
      <x:c r="G87" s="34" t="str">
        <x:v>baseline</x:v>
      </x:c>
      <x:c r="H87" s="34" t="str"/>
      <x:c r="I87" s="34" t="str"/>
    </x:row>
    <x:row r="88">
      <x:c r="A88" s="10" t="str">
        <x:v>STATE-006</x:v>
      </x:c>
      <x:c r="B88" s="10" t="str">
        <x:v>MUST</x:v>
      </x:c>
      <x:c r="C88" s="10" t="str">
        <x:v>G0 through G8 are hard gates and require explicit evidence-backed pass events.</x:v>
      </x:c>
      <x:c r="D88" s="10" t="str">
        <x:v>G0:G8</x:v>
      </x:c>
      <x:c r="E88" s="10" t="str">
        <x:v>gate reducer</x:v>
      </x:c>
      <x:c r="F88" s="10" t="str">
        <x:v>ELTS architecture specification</x:v>
      </x:c>
      <x:c r="G88" s="10" t="str">
        <x:v>baseline</x:v>
      </x:c>
      <x:c r="H88" s="10" t="str"/>
      <x:c r="I88" s="10" t="str"/>
    </x:row>
    <x:row r="89">
      <x:c r="A89" s="34" t="str">
        <x:v>STATE-007</x:v>
      </x:c>
      <x:c r="B89" s="34" t="str">
        <x:v>MUST NOT</x:v>
      </x:c>
      <x:c r="C89" s="34" t="str">
        <x:v>Completing tasks automatically passes a gate.</x:v>
      </x:c>
      <x:c r="D89" s="34" t="str">
        <x:v>G0:G8</x:v>
      </x:c>
      <x:c r="E89" s="34" t="str">
        <x:v>gate reducer</x:v>
      </x:c>
      <x:c r="F89" s="34" t="str">
        <x:v>ELTS architecture specification</x:v>
      </x:c>
      <x:c r="G89" s="34" t="str">
        <x:v>baseline</x:v>
      </x:c>
      <x:c r="H89" s="34" t="str"/>
      <x:c r="I89" s="34" t="str"/>
    </x:row>
    <x:row r="90">
      <x:c r="A90" s="10" t="str">
        <x:v>STATE-008</x:v>
      </x:c>
      <x:c r="B90" s="10" t="str">
        <x:v>MUST</x:v>
      </x:c>
      <x:c r="C90" s="10" t="str">
        <x:v>The current step is chosen deterministically from active, verification-pending, ready, or blocked work in sequence order.</x:v>
      </x:c>
      <x:c r="D90" s="10" t="str">
        <x:v>P0.3</x:v>
      </x:c>
      <x:c r="E90" s="10" t="str">
        <x:v>reducer tests</x:v>
      </x:c>
      <x:c r="F90" s="10" t="str">
        <x:v>ELTS architecture specification</x:v>
      </x:c>
      <x:c r="G90" s="10" t="str">
        <x:v>baseline</x:v>
      </x:c>
      <x:c r="H90" s="10" t="str"/>
      <x:c r="I90" s="10" t="str"/>
    </x:row>
    <x:row r="91">
      <x:c r="A91" s="34" t="str">
        <x:v>STATE-009</x:v>
      </x:c>
      <x:c r="B91" s="34" t="str">
        <x:v>MUST</x:v>
      </x:c>
      <x:c r="C91" s="34" t="str">
        <x:v>Divergent event chains for one task fail reduction and require reconciliation.</x:v>
      </x:c>
      <x:c r="D91" s="34" t="str">
        <x:v>P0.3</x:v>
      </x:c>
      <x:c r="E91" s="34" t="str">
        <x:v>conflict test</x:v>
      </x:c>
      <x:c r="F91" s="34" t="str">
        <x:v>ELTS architecture specification</x:v>
      </x:c>
      <x:c r="G91" s="34" t="str">
        <x:v>baseline</x:v>
      </x:c>
      <x:c r="H91" s="34" t="str"/>
      <x:c r="I91" s="34" t="str"/>
    </x:row>
    <x:row r="92">
      <x:c r="A92" s="10" t="str">
        <x:v>STATE-010</x:v>
      </x:c>
      <x:c r="B92" s="10" t="str">
        <x:v>MUST</x:v>
      </x:c>
      <x:c r="C92" s="10" t="str">
        <x:v>Done or passed states carry evidence that can be resolved in Git, CI, or approved lab records.</x:v>
      </x:c>
      <x:c r="D92" s="10" t="str">
        <x:v>all tasks and gates</x:v>
      </x:c>
      <x:c r="E92" s="10" t="str">
        <x:v>evidence validator</x:v>
      </x:c>
      <x:c r="F92" s="10" t="str">
        <x:v>ELTS architecture specification</x:v>
      </x:c>
      <x:c r="G92" s="10" t="str">
        <x:v>baseline</x:v>
      </x:c>
      <x:c r="H92" s="10" t="str"/>
      <x:c r="I92" s="10" t="str"/>
    </x:row>
    <x:row r="93">
      <x:c r="A93" s="34" t="str">
        <x:v>STATE-011</x:v>
      </x:c>
      <x:c r="B93" s="34" t="str">
        <x:v>MUST</x:v>
      </x:c>
      <x:c r="C93" s="34" t="str">
        <x:v>The generated state records source artifact hashes, plan version, event count, and generation time.</x:v>
      </x:c>
      <x:c r="D93" s="34" t="str">
        <x:v>P0.3</x:v>
      </x:c>
      <x:c r="E93" s="34" t="str">
        <x:v>state schema</x:v>
      </x:c>
      <x:c r="F93" s="34" t="str">
        <x:v>ELTS architecture specification</x:v>
      </x:c>
      <x:c r="G93" s="34" t="str">
        <x:v>baseline</x:v>
      </x:c>
      <x:c r="H93" s="34" t="str"/>
      <x:c r="I93" s="34" t="str"/>
    </x:row>
    <x:row r="94">
      <x:c r="A94" s="10" t="str">
        <x:v>STATE-012</x:v>
      </x:c>
      <x:c r="B94" s="10" t="str">
        <x:v>MUST</x:v>
      </x:c>
      <x:c r="C94" s="10" t="str">
        <x:v>If all eligible work is blocked, state mode is blocked and lists exact blocker IDs.</x:v>
      </x:c>
      <x:c r="D94" s="10" t="str">
        <x:v>P0.3</x:v>
      </x:c>
      <x:c r="E94" s="10" t="str">
        <x:v>reducer tests</x:v>
      </x:c>
      <x:c r="F94" s="10" t="str">
        <x:v>ELTS architecture specification</x:v>
      </x:c>
      <x:c r="G94" s="10" t="str">
        <x:v>baseline</x:v>
      </x:c>
      <x:c r="H94" s="10" t="str"/>
      <x:c r="I94" s="10" t="str"/>
    </x:row>
    <x:row r="95">
      <x:c r="A95" s="34" t="str">
        <x:v>DOC-001</x:v>
      </x:c>
      <x:c r="B95" s="34" t="str">
        <x:v>MUST</x:v>
      </x:c>
      <x:c r="C95" s="34" t="str">
        <x:v>AGENTS.md is the canonical model-agnostic instruction entry point.</x:v>
      </x:c>
      <x:c r="D95" s="34" t="str">
        <x:v>P0.3</x:v>
      </x:c>
      <x:c r="E95" s="34" t="str">
        <x:v>documentation link check</x:v>
      </x:c>
      <x:c r="F95" s="34" t="str">
        <x:v>ELTS architecture specification</x:v>
      </x:c>
      <x:c r="G95" s="34" t="str">
        <x:v>baseline</x:v>
      </x:c>
      <x:c r="H95" s="34" t="str"/>
      <x:c r="I95" s="34" t="str"/>
    </x:row>
    <x:row r="96">
      <x:c r="A96" s="10" t="str">
        <x:v>DOC-002</x:v>
      </x:c>
      <x:c r="B96" s="10" t="str">
        <x:v>MUST</x:v>
      </x:c>
      <x:c r="C96" s="10" t="str">
        <x:v>Model-specific instruction files are thin adapters and do not duplicate policy.</x:v>
      </x:c>
      <x:c r="D96" s="10" t="str">
        <x:v>P0.3</x:v>
      </x:c>
      <x:c r="E96" s="10" t="str">
        <x:v>documentation drift check</x:v>
      </x:c>
      <x:c r="F96" s="10" t="str">
        <x:v>ELTS architecture specification</x:v>
      </x:c>
      <x:c r="G96" s="10" t="str">
        <x:v>baseline</x:v>
      </x:c>
      <x:c r="H96" s="10" t="str"/>
      <x:c r="I96" s="10" t="str"/>
    </x:row>
    <x:row r="97">
      <x:c r="A97" s="34" t="str">
        <x:v>DOC-003</x:v>
      </x:c>
      <x:c r="B97" s="34" t="str">
        <x:v>MUST</x:v>
      </x:c>
      <x:c r="C97" s="34" t="str">
        <x:v>Each module contract states purpose, boundaries, interfaces, thread ownership, schemas, config, events, failure behavior, tests, invariants, ADRs, and work-item links.</x:v>
      </x:c>
      <x:c r="D97" s="34" t="str">
        <x:v>module implementation tasks</x:v>
      </x:c>
      <x:c r="E97" s="34" t="str">
        <x:v>module review</x:v>
      </x:c>
      <x:c r="F97" s="34" t="str">
        <x:v>ELTS architecture specification</x:v>
      </x:c>
      <x:c r="G97" s="34" t="str">
        <x:v>baseline</x:v>
      </x:c>
      <x:c r="H97" s="34" t="str"/>
      <x:c r="I97" s="34" t="str"/>
    </x:row>
    <x:row r="98">
      <x:c r="A98" s="10" t="str">
        <x:v>DOC-004</x:v>
      </x:c>
      <x:c r="B98" s="10" t="str">
        <x:v>MUST</x:v>
      </x:c>
      <x:c r="C98" s="10" t="str">
        <x:v>Architecture decisions use immutable ADR history with Proposed, Accepted, Rejected, or Superseded status.</x:v>
      </x:c>
      <x:c r="D98" s="10" t="str">
        <x:v>P0.3, decisions</x:v>
      </x:c>
      <x:c r="E98" s="10" t="str">
        <x:v>ADR lint</x:v>
      </x:c>
      <x:c r="F98" s="10" t="str">
        <x:v>ELTS architecture specification</x:v>
      </x:c>
      <x:c r="G98" s="10" t="str">
        <x:v>baseline</x:v>
      </x:c>
      <x:c r="H98" s="10" t="str"/>
      <x:c r="I98" s="10" t="str"/>
    </x:row>
    <x:row r="99">
      <x:c r="A99" s="34" t="str">
        <x:v>DOC-005</x:v>
      </x:c>
      <x:c r="B99" s="34" t="str">
        <x:v>MUST NOT</x:v>
      </x:c>
      <x:c r="C99" s="34" t="str">
        <x:v>D-01 through D-18 are renumbered or replaced by ADR identifiers.</x:v>
      </x:c>
      <x:c r="D99" s="34" t="str">
        <x:v>all decision work</x:v>
      </x:c>
      <x:c r="E99" s="34" t="str">
        <x:v>ID reconciliation</x:v>
      </x:c>
      <x:c r="F99" s="34" t="str">
        <x:v>ELTS architecture specification</x:v>
      </x:c>
      <x:c r="G99" s="34" t="str">
        <x:v>baseline</x:v>
      </x:c>
      <x:c r="H99" s="34" t="str"/>
      <x:c r="I99" s="34" t="str"/>
    </x:row>
    <x:row r="100">
      <x:c r="A100" s="10" t="str">
        <x:v>DOC-006</x:v>
      </x:c>
      <x:c r="B100" s="10" t="str">
        <x:v>MUST</x:v>
      </x:c>
      <x:c r="C100" s="10" t="str">
        <x:v>Documentation changes occur in the same pull request as the behavior they describe.</x:v>
      </x:c>
      <x:c r="D100" s="10" t="str">
        <x:v>all tasks</x:v>
      </x:c>
      <x:c r="E100" s="10" t="str">
        <x:v>PR checklist</x:v>
      </x:c>
      <x:c r="F100" s="10" t="str">
        <x:v>ELTS architecture specification</x:v>
      </x:c>
      <x:c r="G100" s="10" t="str">
        <x:v>baseline</x:v>
      </x:c>
      <x:c r="H100" s="10" t="str"/>
      <x:c r="I100" s="10" t="str"/>
    </x:row>
    <x:row r="101">
      <x:c r="A101" s="34" t="str">
        <x:v>DATA-001</x:v>
      </x:c>
      <x:c r="B101" s="34" t="str">
        <x:v>MUST NOT</x:v>
      </x:c>
      <x:c r="C101" s="34" t="str">
        <x:v>Participant names, contact details, consent records, calibration, or study data enter Git or GitHub.</x:v>
      </x:c>
      <x:c r="D101" s="34" t="str">
        <x:v>P0.3, P8.3</x:v>
      </x:c>
      <x:c r="E101" s="34" t="str">
        <x:v>data leak scan</x:v>
      </x:c>
      <x:c r="F101" s="34" t="str">
        <x:v>ELTS architecture specification</x:v>
      </x:c>
      <x:c r="G101" s="34" t="str">
        <x:v>baseline</x:v>
      </x:c>
      <x:c r="H101" s="34" t="str"/>
      <x:c r="I101" s="34" t="str"/>
    </x:row>
    <x:row r="102">
      <x:c r="A102" s="10" t="str">
        <x:v>DATA-002</x:v>
      </x:c>
      <x:c r="B102" s="10" t="str">
        <x:v>MUST</x:v>
      </x:c>
      <x:c r="C102" s="10" t="str">
        <x:v>De-identified participant IDs are treated as research data and kept out of the public repository.</x:v>
      </x:c>
      <x:c r="D102" s="10" t="str">
        <x:v>P8.3</x:v>
      </x:c>
      <x:c r="E102" s="10" t="str">
        <x:v>data governance review</x:v>
      </x:c>
      <x:c r="F102" s="10" t="str">
        <x:v>ELTS architecture specification</x:v>
      </x:c>
      <x:c r="G102" s="10" t="str">
        <x:v>baseline</x:v>
      </x:c>
      <x:c r="H102" s="10" t="str"/>
      <x:c r="I102" s="10" t="str"/>
    </x:row>
    <x:row r="103">
      <x:c r="A103" s="34" t="str">
        <x:v>DATA-003</x:v>
      </x:c>
      <x:c r="B103" s="34" t="str">
        <x:v>MUST</x:v>
      </x:c>
      <x:c r="C103" s="34" t="str">
        <x:v>Raw study data is append-only; reruns use a unique suffix and preserve prior output.</x:v>
      </x:c>
      <x:c r="D103" s="34" t="str">
        <x:v>P2.5, P4.10</x:v>
      </x:c>
      <x:c r="E103" s="34" t="str">
        <x:v>G2, G4</x:v>
      </x:c>
      <x:c r="F103" s="34" t="str">
        <x:v>ELTS architecture specification</x:v>
      </x:c>
      <x:c r="G103" s="34" t="str">
        <x:v>baseline</x:v>
      </x:c>
      <x:c r="H103" s="34" t="str"/>
      <x:c r="I103" s="34" t="str"/>
    </x:row>
    <x:row r="104">
      <x:c r="A104" s="10" t="str">
        <x:v>DATA-004</x:v>
      </x:c>
      <x:c r="B104" s="10" t="str">
        <x:v>MUST</x:v>
      </x:c>
      <x:c r="C104" s="10" t="str">
        <x:v>Only synthetic fixtures approved for public disclosure may be committed.</x:v>
      </x:c>
      <x:c r="D104" s="10" t="str">
        <x:v>P2.9, P2.8</x:v>
      </x:c>
      <x:c r="E104" s="10" t="str">
        <x:v>repository-policy CI</x:v>
      </x:c>
      <x:c r="F104" s="10" t="str">
        <x:v>ELTS architecture specification</x:v>
      </x:c>
      <x:c r="G104" s="10" t="str">
        <x:v>baseline</x:v>
      </x:c>
      <x:c r="H104" s="10" t="str"/>
      <x:c r="I104" s="10" t="str"/>
    </x:row>
    <x:row r="105">
      <x:c r="A105" s="34" t="str">
        <x:v>DATA-005</x:v>
      </x:c>
      <x:c r="B105" s="34" t="str">
        <x:v>MUST</x:v>
      </x:c>
      <x:c r="C105" s="34" t="str">
        <x:v>Logs record application, commit, schema, config, scenario, session, and timing provenance.</x:v>
      </x:c>
      <x:c r="D105" s="34" t="str">
        <x:v>P2.5</x:v>
      </x:c>
      <x:c r="E105" s="34" t="str">
        <x:v>G2</x:v>
      </x:c>
      <x:c r="F105" s="34" t="str">
        <x:v>ELTS architecture specification</x:v>
      </x:c>
      <x:c r="G105" s="34" t="str">
        <x:v>baseline</x:v>
      </x:c>
      <x:c r="H105" s="34" t="str"/>
      <x:c r="I105" s="34" t="str"/>
    </x:row>
    <x:row r="106">
      <x:c r="A106" s="10" t="str">
        <x:v>DATA-006</x:v>
      </x:c>
      <x:c r="B106" s="10" t="str">
        <x:v>MUST</x:v>
      </x:c>
      <x:c r="C106" s="10" t="str">
        <x:v>Backups include per-session checksums and follow IRB and institutional retention rules.</x:v>
      </x:c>
      <x:c r="D106" s="10" t="str">
        <x:v>P8.3</x:v>
      </x:c>
      <x:c r="E106" s="10" t="str">
        <x:v>G8</x:v>
      </x:c>
      <x:c r="F106" s="10" t="str">
        <x:v>ELTS architecture specification</x:v>
      </x:c>
      <x:c r="G106" s="10" t="str">
        <x:v>baseline</x:v>
      </x:c>
      <x:c r="H106" s="10" t="str"/>
      <x:c r="I106" s="10" t="str"/>
    </x:row>
    <x:row r="107">
      <x:c r="A107" s="34" t="str">
        <x:v>DATA-007</x:v>
      </x:c>
      <x:c r="B107" s="34" t="str">
        <x:v>MUST NOT</x:v>
      </x:c>
      <x:c r="C107" s="34" t="str">
        <x:v>Study operation sends telemetry or research data to unapproved cloud services.</x:v>
      </x:c>
      <x:c r="D107" s="34" t="str">
        <x:v>P0.3, P8.3</x:v>
      </x:c>
      <x:c r="E107" s="34" t="str">
        <x:v>security review</x:v>
      </x:c>
      <x:c r="F107" s="34" t="str">
        <x:v>ELTS architecture specification</x:v>
      </x:c>
      <x:c r="G107" s="34" t="str">
        <x:v>baseline</x:v>
      </x:c>
      <x:c r="H107" s="34" t="str"/>
      <x:c r="I107" s="34" t="str"/>
    </x:row>
    <x:row r="108">
      <x:c r="A108" s="10" t="str">
        <x:v>DATA-008</x:v>
      </x:c>
      <x:c r="B108" s="10" t="str">
        <x:v>MUST</x:v>
      </x:c>
      <x:c r="C108" s="10" t="str">
        <x:v>Analysis preserves raw data, performs version-aware ingest, and records migrations.</x:v>
      </x:c>
      <x:c r="D108" s="10" t="str">
        <x:v>P2.8, P8.6</x:v>
      </x:c>
      <x:c r="E108" s="10" t="str">
        <x:v>analysis tests</x:v>
      </x:c>
      <x:c r="F108" s="10" t="str">
        <x:v>ELTS architecture specification</x:v>
      </x:c>
      <x:c r="G108" s="10" t="str">
        <x:v>baseline</x:v>
      </x:c>
      <x:c r="H108" s="10" t="str"/>
      <x:c r="I108" s="10" t="str"/>
    </x:row>
    <x:row r="109">
      <x:c r="A109" s="34" t="str">
        <x:v>REL-001</x:v>
      </x:c>
      <x:c r="B109" s="34" t="str">
        <x:v>MUST</x:v>
      </x:c>
      <x:c r="C109" s="34" t="str">
        <x:v>The first data-collection release is tagged study-v1.0 after G8 passes.</x:v>
      </x:c>
      <x:c r="D109" s="34" t="str">
        <x:v>P8.7</x:v>
      </x:c>
      <x:c r="E109" s="34" t="str">
        <x:v>G8</x:v>
      </x:c>
      <x:c r="F109" s="34" t="str">
        <x:v>ELTS architecture specification</x:v>
      </x:c>
      <x:c r="G109" s="34" t="str">
        <x:v>baseline</x:v>
      </x:c>
      <x:c r="H109" s="34" t="str"/>
      <x:c r="I109" s="34" t="str"/>
    </x:row>
    <x:row r="110">
      <x:c r="A110" s="10" t="str">
        <x:v>REL-002</x:v>
      </x:c>
      <x:c r="B110" s="10" t="str">
        <x:v>MUST</x:v>
      </x:c>
      <x:c r="C110" s="10" t="str">
        <x:v>Study config, rig calibration, scenarios, and sessions are frozen by recorded hashes; local.json is excluded.</x:v>
      </x:c>
      <x:c r="D110" s="10" t="str">
        <x:v>P8.7</x:v>
      </x:c>
      <x:c r="E110" s="10" t="str">
        <x:v>frozen manifest</x:v>
      </x:c>
      <x:c r="F110" s="10" t="str">
        <x:v>ELTS architecture specification</x:v>
      </x:c>
      <x:c r="G110" s="10" t="str">
        <x:v>baseline</x:v>
      </x:c>
      <x:c r="H110" s="10" t="str"/>
      <x:c r="I110" s="10" t="str"/>
    </x:row>
    <x:row r="111">
      <x:c r="A111" s="34" t="str">
        <x:v>REL-003</x:v>
      </x:c>
      <x:c r="B111" s="34" t="str">
        <x:v>MUST</x:v>
      </x:c>
      <x:c r="C111" s="34" t="str">
        <x:v>A data-collection change creates a new tag and a study-log entry.</x:v>
      </x:c>
      <x:c r="D111" s="34" t="str">
        <x:v>P8.7</x:v>
      </x:c>
      <x:c r="E111" s="34" t="str">
        <x:v>release policy</x:v>
      </x:c>
      <x:c r="F111" s="34" t="str">
        <x:v>ELTS architecture specification</x:v>
      </x:c>
      <x:c r="G111" s="34" t="str">
        <x:v>baseline</x:v>
      </x:c>
      <x:c r="H111" s="34" t="str"/>
      <x:c r="I111" s="34" t="str"/>
    </x:row>
    <x:row r="112">
      <x:c r="A112" s="10" t="str">
        <x:v>REL-004</x:v>
      </x:c>
      <x:c r="B112" s="10" t="str">
        <x:v>MUST</x:v>
      </x:c>
      <x:c r="C112" s="10" t="str">
        <x:v>The release archive includes checksum manifest, build-info, licenses, operator docs, and diagnostics.</x:v>
      </x:c>
      <x:c r="D112" s="10" t="str">
        <x:v>P8.7</x:v>
      </x:c>
      <x:c r="E112" s="10" t="str">
        <x:v>release verification</x:v>
      </x:c>
      <x:c r="F112" s="10" t="str">
        <x:v>ELTS architecture specification</x:v>
      </x:c>
      <x:c r="G112" s="10" t="str">
        <x:v>baseline</x:v>
      </x:c>
      <x:c r="H112" s="10" t="str"/>
      <x:c r="I112" s="10" t="str"/>
    </x:row>
    <x:row r="113">
      <x:c r="A113" s="41" t="str">
        <x:v>REL-005</x:v>
      </x:c>
      <x:c r="B113" s="41" t="str">
        <x:v>MUST</x:v>
      </x:c>
      <x:c r="C113" s="41" t="str">
        <x:v>Release creation requires human approval and cannot substitute CI for hardware gate evidence.</x:v>
      </x:c>
      <x:c r="D113" s="41" t="str">
        <x:v>P8.7</x:v>
      </x:c>
      <x:c r="E113" s="41" t="str">
        <x:v>release environment approval</x:v>
      </x:c>
      <x:c r="F113" s="41" t="str">
        <x:v>ELTS architecture specification</x:v>
      </x:c>
      <x:c r="G113" s="41" t="str">
        <x:v>baseline</x:v>
      </x:c>
      <x:c r="H113" s="41" t="str"/>
      <x:c r="I113" s="41" t="str"/>
    </x:row>
  </x:sheetData>
  <x:mergeCells>
    <x:mergeCell ref="A1:I1"/>
    <x:mergeCell ref="A2:I2"/>
  </x:mergeCells>
  <x:dataValidations count="1">
    <x:dataValidation type="list" sqref="B6:B113">
      <x:formula1>"MUST,MUST NOT,SHOULD,SHOULD NOT,MAY"</x:formula1>
    </x:dataValidation>
  </x:dataValidations>
  <x:pageMargins left="0.7" right="0.7" top="0.75" bottom="0.75" header="0.3" footer="0.3"/>
  <x:tableParts count="1">
    <x:tablePart xmlns:r="http://schemas.openxmlformats.org/officeDocument/2006/relationships" r:id="Rc3d05a00a6a44ac7"/>
  </x:tableParts>
</x:worksheet>
</file>

<file path=xl/worksheets/sheet10.xml><?xml version="1.0" encoding="utf-8"?>
<x:worksheet xmlns:x="http://schemas.openxmlformats.org/spreadsheetml/2006/main">
  <x:sheetPr>
    <x:tabColor rgb="FF4472C4"/>
  </x:sheetPr>
  <x:sheetViews>
    <x:sheetView showGridLines="0" workbookViewId="0">
      <x:pane xSplit="2" ySplit="5" topLeftCell="C6" activePane="bottomRight" state="frozen"/>
    </x:sheetView>
  </x:sheetViews>
  <x:sheetFormatPr defaultRowHeight="15"/>
  <x:cols>
    <x:col min="1" max="1" width="13" hidden="0" customWidth="1"/>
    <x:col min="2" max="2" width="42" hidden="0" customWidth="1"/>
    <x:col min="3" max="3" width="22" hidden="0" customWidth="1"/>
    <x:col min="4" max="4" width="55" hidden="0" customWidth="1"/>
    <x:col min="5" max="5" width="25" hidden="0" customWidth="1"/>
    <x:col min="6" max="6" width="42" hidden="0" customWidth="1"/>
    <x:col min="7" max="7" width="18" hidden="0" customWidth="1"/>
    <x:col min="8" max="8" width="34" hidden="0" customWidth="1"/>
  </x:cols>
  <x:sheetData>
    <x:row r="1" ht="28" customHeight="1">
      <x:c r="A1" s="1" t="str">
        <x:v>Artifact register</x:v>
      </x:c>
    </x:row>
    <x:row r="2">
      <x:c r="A2" s="2" t="str">
        <x:v>Expected repository, generated, untracked, and release artifacts with a single declared role.</x:v>
      </x:c>
    </x:row>
    <x:row r="3">
      <x:c r="A3" s="3"/>
      <x:c r="B3" s="3"/>
      <x:c r="C3" s="3"/>
      <x:c r="D3" s="3"/>
      <x:c r="E3" s="3"/>
      <x:c r="F3" s="3"/>
      <x:c r="G3" s="3"/>
      <x:c r="H3" s="3"/>
    </x:row>
    <x:row r="5" ht="32" customHeight="1">
      <x:c r="A5" s="31" t="str">
        <x:v>Artifact ID</x:v>
      </x:c>
      <x:c r="B5" s="31" t="str">
        <x:v>Path or Package</x:v>
      </x:c>
      <x:c r="C5" s="31" t="str">
        <x:v>Disposition</x:v>
      </x:c>
      <x:c r="D5" s="31" t="str">
        <x:v>Purpose</x:v>
      </x:c>
      <x:c r="E5" s="31" t="str">
        <x:v>Owning Step or Range</x:v>
      </x:c>
      <x:c r="F5" s="31" t="str">
        <x:v>Notes</x:v>
      </x:c>
      <x:c r="G5" s="31" t="str">
        <x:v>Status</x:v>
      </x:c>
      <x:c r="H5" s="31" t="str">
        <x:v>Evidence</x:v>
      </x:c>
    </x:row>
    <x:row r="6">
      <x:c r="A6" s="10" t="str">
        <x:v>ART-001</x:v>
      </x:c>
      <x:c r="B6" s="10" t="str">
        <x:v>README.md</x:v>
      </x:c>
      <x:c r="C6" s="10" t="str">
        <x:v>Committed</x:v>
      </x:c>
      <x:c r="D6" s="10" t="str">
        <x:v>Repository entry point and quick start</x:v>
      </x:c>
      <x:c r="E6" s="10" t="str">
        <x:v>P0.3</x:v>
      </x:c>
      <x:c r="F6" s="10" t="str">
        <x:v>Path is relative to repository or release root.</x:v>
      </x:c>
      <x:c r="G6" s="10" t="str">
        <x:v>not_started</x:v>
      </x:c>
      <x:c r="H6" s="10" t="str"/>
    </x:row>
    <x:row r="7">
      <x:c r="A7" s="34" t="str">
        <x:v>ART-002</x:v>
      </x:c>
      <x:c r="B7" s="34" t="str">
        <x:v>AGENTS.md</x:v>
      </x:c>
      <x:c r="C7" s="34" t="str">
        <x:v>Committed</x:v>
      </x:c>
      <x:c r="D7" s="34" t="str">
        <x:v>Canonical coding-agent instruction entry point</x:v>
      </x:c>
      <x:c r="E7" s="34" t="str">
        <x:v>P0.3</x:v>
      </x:c>
      <x:c r="F7" s="34" t="str">
        <x:v>Path is relative to repository or release root.</x:v>
      </x:c>
      <x:c r="G7" s="34" t="str">
        <x:v>not_started</x:v>
      </x:c>
      <x:c r="H7" s="34" t="str"/>
    </x:row>
    <x:row r="8">
      <x:c r="A8" s="10" t="str">
        <x:v>ART-003</x:v>
      </x:c>
      <x:c r="B8" s="10" t="str">
        <x:v>CLAUDE.md</x:v>
      </x:c>
      <x:c r="C8" s="10" t="str">
        <x:v>Committed</x:v>
      </x:c>
      <x:c r="D8" s="10" t="str">
        <x:v>Thin adapter to canonical agent instructions</x:v>
      </x:c>
      <x:c r="E8" s="10" t="str">
        <x:v>P0.3</x:v>
      </x:c>
      <x:c r="F8" s="10" t="str">
        <x:v>Path is relative to repository or release root.</x:v>
      </x:c>
      <x:c r="G8" s="10" t="str">
        <x:v>not_started</x:v>
      </x:c>
      <x:c r="H8" s="10" t="str"/>
    </x:row>
    <x:row r="9">
      <x:c r="A9" s="34" t="str">
        <x:v>ART-004</x:v>
      </x:c>
      <x:c r="B9" s="34" t="str">
        <x:v>.github/copilot-instructions.md</x:v>
      </x:c>
      <x:c r="C9" s="34" t="str">
        <x:v>Committed</x:v>
      </x:c>
      <x:c r="D9" s="34" t="str">
        <x:v>Thin adapter to canonical agent instructions</x:v>
      </x:c>
      <x:c r="E9" s="34" t="str">
        <x:v>P0.3</x:v>
      </x:c>
      <x:c r="F9" s="34" t="str">
        <x:v>Path is relative to repository or release root.</x:v>
      </x:c>
      <x:c r="G9" s="34" t="str">
        <x:v>not_started</x:v>
      </x:c>
      <x:c r="H9" s="34" t="str"/>
    </x:row>
    <x:row r="10">
      <x:c r="A10" s="10" t="str">
        <x:v>ART-005</x:v>
      </x:c>
      <x:c r="B10" s="10" t="str">
        <x:v>PROJECT_STATE.json</x:v>
      </x:c>
      <x:c r="C10" s="10" t="str">
        <x:v>Committed generated</x:v>
      </x:c>
      <x:c r="D10" s="10" t="str">
        <x:v>Exact current progress snapshot</x:v>
      </x:c>
      <x:c r="E10" s="10" t="str">
        <x:v>P0.3</x:v>
      </x:c>
      <x:c r="F10" s="10" t="str">
        <x:v>Path is relative to repository or release root.</x:v>
      </x:c>
      <x:c r="G10" s="10" t="str">
        <x:v>not_started</x:v>
      </x:c>
      <x:c r="H10" s="10" t="str"/>
    </x:row>
    <x:row r="11">
      <x:c r="A11" s="34" t="str">
        <x:v>ART-006</x:v>
      </x:c>
      <x:c r="B11" s="34" t="str">
        <x:v>project-management/task-catalog.json</x:v>
      </x:c>
      <x:c r="C11" s="34" t="str">
        <x:v>Committed</x:v>
      </x:c>
      <x:c r="D11" s="34" t="str">
        <x:v>Normalized immutable execution catalog</x:v>
      </x:c>
      <x:c r="E11" s="34" t="str">
        <x:v>P0.3</x:v>
      </x:c>
      <x:c r="F11" s="34" t="str">
        <x:v>Path is relative to repository or release root.</x:v>
      </x:c>
      <x:c r="G11" s="34" t="str">
        <x:v>not_started</x:v>
      </x:c>
      <x:c r="H11" s="34" t="str"/>
    </x:row>
    <x:row r="12">
      <x:c r="A12" s="10" t="str">
        <x:v>ART-007</x:v>
      </x:c>
      <x:c r="B12" s="10" t="str">
        <x:v>project-management/progress/events/</x:v>
      </x:c>
      <x:c r="C12" s="10" t="str">
        <x:v>Committed</x:v>
      </x:c>
      <x:c r="D12" s="10" t="str">
        <x:v>Append-only progress events</x:v>
      </x:c>
      <x:c r="E12" s="10" t="str">
        <x:v>P0.3</x:v>
      </x:c>
      <x:c r="F12" s="10" t="str">
        <x:v>Path is relative to repository or release root.</x:v>
      </x:c>
      <x:c r="G12" s="10" t="str">
        <x:v>not_started</x:v>
      </x:c>
      <x:c r="H12" s="10" t="str"/>
    </x:row>
    <x:row r="13">
      <x:c r="A13" s="34" t="str">
        <x:v>ART-008</x:v>
      </x:c>
      <x:c r="B13" s="34" t="str">
        <x:v>project-management/baseline/</x:v>
      </x:c>
      <x:c r="C13" s="34" t="str">
        <x:v>Committed</x:v>
      </x:c>
      <x:c r="D13" s="34" t="str">
        <x:v>Unchanged specification and workbook baseline</x:v>
      </x:c>
      <x:c r="E13" s="34" t="str">
        <x:v>P0.3</x:v>
      </x:c>
      <x:c r="F13" s="34" t="str">
        <x:v>Path is relative to repository or release root.</x:v>
      </x:c>
      <x:c r="G13" s="34" t="str">
        <x:v>not_started</x:v>
      </x:c>
      <x:c r="H13" s="34" t="str"/>
    </x:row>
    <x:row r="14">
      <x:c r="A14" s="10" t="str">
        <x:v>ART-009</x:v>
      </x:c>
      <x:c r="B14" s="10" t="str">
        <x:v>schemas/progress/</x:v>
      </x:c>
      <x:c r="C14" s="10" t="str">
        <x:v>Committed</x:v>
      </x:c>
      <x:c r="D14" s="10" t="str">
        <x:v>Task, event, state, and handoff schemas</x:v>
      </x:c>
      <x:c r="E14" s="10" t="str">
        <x:v>P0.3</x:v>
      </x:c>
      <x:c r="F14" s="10" t="str">
        <x:v>Path is relative to repository or release root.</x:v>
      </x:c>
      <x:c r="G14" s="10" t="str">
        <x:v>not_started</x:v>
      </x:c>
      <x:c r="H14" s="10" t="str"/>
    </x:row>
    <x:row r="15">
      <x:c r="A15" s="34" t="str">
        <x:v>ART-010</x:v>
      </x:c>
      <x:c r="B15" s="34" t="str">
        <x:v>config/</x:v>
      </x:c>
      <x:c r="C15" s="34" t="str">
        <x:v>Committed</x:v>
      </x:c>
      <x:c r="D15" s="34" t="str">
        <x:v>Sole hand-edited source of study and rig templates</x:v>
      </x:c>
      <x:c r="E15" s="34" t="str">
        <x:v>P0.3, P2.1</x:v>
      </x:c>
      <x:c r="F15" s="34" t="str">
        <x:v>Path is relative to repository or release root.</x:v>
      </x:c>
      <x:c r="G15" s="34" t="str">
        <x:v>not_started</x:v>
      </x:c>
      <x:c r="H15" s="34" t="str"/>
    </x:row>
    <x:row r="16">
      <x:c r="A16" s="10" t="str">
        <x:v>ART-011</x:v>
      </x:c>
      <x:c r="B16" s="10" t="str">
        <x:v>unity/</x:v>
      </x:c>
      <x:c r="C16" s="10" t="str">
        <x:v>Committed</x:v>
      </x:c>
      <x:c r="D16" s="10" t="str">
        <x:v>Unity 6 study application source and settings</x:v>
      </x:c>
      <x:c r="E16" s="10" t="str">
        <x:v>P0.3:P5.10, P6.1:P6.6</x:v>
      </x:c>
      <x:c r="F16" s="10" t="str">
        <x:v>Path is relative to repository or release root.</x:v>
      </x:c>
      <x:c r="G16" s="10" t="str">
        <x:v>not_started</x:v>
      </x:c>
      <x:c r="H16" s="10" t="str"/>
    </x:row>
    <x:row r="17">
      <x:c r="A17" s="34" t="str">
        <x:v>ART-012</x:v>
      </x:c>
      <x:c r="B17" s="34" t="str">
        <x:v>unity/Assets/ThirdParty/OpenVR/</x:v>
      </x:c>
      <x:c r="C17" s="34" t="str">
        <x:v>Committed vendored</x:v>
      </x:c>
      <x:c r="D17" s="34" t="str">
        <x:v>Pinned OpenVR binding, native library, license, and checksums</x:v>
      </x:c>
      <x:c r="E17" s="34" t="str">
        <x:v>P0.3</x:v>
      </x:c>
      <x:c r="F17" s="34" t="str">
        <x:v>Path is relative to repository or release root.</x:v>
      </x:c>
      <x:c r="G17" s="34" t="str">
        <x:v>not_started</x:v>
      </x:c>
      <x:c r="H17" s="34" t="str"/>
    </x:row>
    <x:row r="18">
      <x:c r="A18" s="10" t="str">
        <x:v>ART-013</x:v>
      </x:c>
      <x:c r="B18" s="10" t="str">
        <x:v>jetson/</x:v>
      </x:c>
      <x:c r="C18" s="10" t="str">
        <x:v>Committed</x:v>
      </x:c>
      <x:c r="D18" s="10" t="str">
        <x:v>ELTS listener, protocol adapters, service, installer, and tests</x:v>
      </x:c>
      <x:c r="E18" s="10" t="str">
        <x:v>P6.7:P6.10</x:v>
      </x:c>
      <x:c r="F18" s="10" t="str">
        <x:v>Path is relative to repository or release root.</x:v>
      </x:c>
      <x:c r="G18" s="10" t="str">
        <x:v>not_started</x:v>
      </x:c>
      <x:c r="H18" s="10" t="str"/>
    </x:row>
    <x:row r="19">
      <x:c r="A19" s="34" t="str">
        <x:v>ART-014</x:v>
      </x:c>
      <x:c r="B19" s="34" t="str">
        <x:v>analysis/</x:v>
      </x:c>
      <x:c r="C19" s="34" t="str">
        <x:v>Committed</x:v>
      </x:c>
      <x:c r="D19" s="34" t="str">
        <x:v>Version-aware ingest, tests, and synthetic fixtures</x:v>
      </x:c>
      <x:c r="E19" s="34" t="str">
        <x:v>P2.8, P8.6</x:v>
      </x:c>
      <x:c r="F19" s="34" t="str">
        <x:v>Path is relative to repository or release root.</x:v>
      </x:c>
      <x:c r="G19" s="34" t="str">
        <x:v>not_started</x:v>
      </x:c>
      <x:c r="H19" s="34" t="str"/>
    </x:row>
    <x:row r="20">
      <x:c r="A20" s="10" t="str">
        <x:v>ART-015</x:v>
      </x:c>
      <x:c r="B20" s="10" t="str">
        <x:v>scripts/bootstrap-dev.ps1</x:v>
      </x:c>
      <x:c r="C20" s="10" t="str">
        <x:v>Committed</x:v>
      </x:c>
      <x:c r="D20" s="10" t="str">
        <x:v>Idempotent developer bootstrap</x:v>
      </x:c>
      <x:c r="E20" s="10" t="str">
        <x:v>P0.3</x:v>
      </x:c>
      <x:c r="F20" s="10" t="str">
        <x:v>Path is relative to repository or release root.</x:v>
      </x:c>
      <x:c r="G20" s="10" t="str">
        <x:v>not_started</x:v>
      </x:c>
      <x:c r="H20" s="10" t="str"/>
    </x:row>
    <x:row r="21">
      <x:c r="A21" s="34" t="str">
        <x:v>ART-016</x:v>
      </x:c>
      <x:c r="B21" s="34" t="str">
        <x:v>scripts/doctor.ps1</x:v>
      </x:c>
      <x:c r="C21" s="34" t="str">
        <x:v>Committed</x:v>
      </x:c>
      <x:c r="D21" s="34" t="str">
        <x:v>Developer and study-PC diagnostics</x:v>
      </x:c>
      <x:c r="E21" s="34" t="str">
        <x:v>P0.3, P4.12</x:v>
      </x:c>
      <x:c r="F21" s="34" t="str">
        <x:v>Path is relative to repository or release root.</x:v>
      </x:c>
      <x:c r="G21" s="34" t="str">
        <x:v>not_started</x:v>
      </x:c>
      <x:c r="H21" s="34" t="str"/>
    </x:row>
    <x:row r="22">
      <x:c r="A22" s="10" t="str">
        <x:v>ART-017</x:v>
      </x:c>
      <x:c r="B22" s="10" t="str">
        <x:v>scripts/build.ps1</x:v>
      </x:c>
      <x:c r="C22" s="10" t="str">
        <x:v>Committed</x:v>
      </x:c>
      <x:c r="D22" s="10" t="str">
        <x:v>Pinned command-line Unity build entry point</x:v>
      </x:c>
      <x:c r="E22" s="10" t="str">
        <x:v>P0.3</x:v>
      </x:c>
      <x:c r="F22" s="10" t="str">
        <x:v>Path is relative to repository or release root.</x:v>
      </x:c>
      <x:c r="G22" s="10" t="str">
        <x:v>not_started</x:v>
      </x:c>
      <x:c r="H22" s="10" t="str"/>
    </x:row>
    <x:row r="23">
      <x:c r="A23" s="34" t="str">
        <x:v>ART-018</x:v>
      </x:c>
      <x:c r="B23" s="34" t="str">
        <x:v>scripts/package-study.ps1</x:v>
      </x:c>
      <x:c r="C23" s="34" t="str">
        <x:v>Committed</x:v>
      </x:c>
      <x:c r="D23" s="34" t="str">
        <x:v>Portable release packager</x:v>
      </x:c>
      <x:c r="E23" s="34" t="str">
        <x:v>P8.7</x:v>
      </x:c>
      <x:c r="F23" s="34" t="str">
        <x:v>Path is relative to repository or release root.</x:v>
      </x:c>
      <x:c r="G23" s="34" t="str">
        <x:v>not_started</x:v>
      </x:c>
      <x:c r="H23" s="34" t="str"/>
    </x:row>
    <x:row r="24">
      <x:c r="A24" s="10" t="str">
        <x:v>ART-019</x:v>
      </x:c>
      <x:c r="B24" s="10" t="str">
        <x:v>scripts/setup-study-machine.ps1</x:v>
      </x:c>
      <x:c r="C24" s="10" t="str">
        <x:v>Committed</x:v>
      </x:c>
      <x:c r="D24" s="10" t="str">
        <x:v>FIRST-RUN implementation</x:v>
      </x:c>
      <x:c r="E24" s="10" t="str">
        <x:v>P8.7</x:v>
      </x:c>
      <x:c r="F24" s="10" t="str">
        <x:v>Path is relative to repository or release root.</x:v>
      </x:c>
      <x:c r="G24" s="10" t="str">
        <x:v>not_started</x:v>
      </x:c>
      <x:c r="H24" s="10" t="str"/>
    </x:row>
    <x:row r="25">
      <x:c r="A25" s="34" t="str">
        <x:v>ART-020</x:v>
      </x:c>
      <x:c r="B25" s="34" t="str">
        <x:v>docs/ai/</x:v>
      </x:c>
      <x:c r="C25" s="34" t="str">
        <x:v>Committed</x:v>
      </x:c>
      <x:c r="D25" s="34" t="str">
        <x:v>Agent protocol, review checklist, context index, handoff template</x:v>
      </x:c>
      <x:c r="E25" s="34" t="str">
        <x:v>P0.3</x:v>
      </x:c>
      <x:c r="F25" s="34" t="str">
        <x:v>Path is relative to repository or release root.</x:v>
      </x:c>
      <x:c r="G25" s="34" t="str">
        <x:v>not_started</x:v>
      </x:c>
      <x:c r="H25" s="34" t="str"/>
    </x:row>
    <x:row r="26">
      <x:c r="A26" s="10" t="str">
        <x:v>ART-021</x:v>
      </x:c>
      <x:c r="B26" s="10" t="str">
        <x:v>docs/adr/</x:v>
      </x:c>
      <x:c r="C26" s="10" t="str">
        <x:v>Committed</x:v>
      </x:c>
      <x:c r="D26" s="10" t="str">
        <x:v>Architecture decision records</x:v>
      </x:c>
      <x:c r="E26" s="10" t="str">
        <x:v>P0.3, D-01:D-18</x:v>
      </x:c>
      <x:c r="F26" s="10" t="str">
        <x:v>Path is relative to repository or release root.</x:v>
      </x:c>
      <x:c r="G26" s="10" t="str">
        <x:v>not_started</x:v>
      </x:c>
      <x:c r="H26" s="10" t="str"/>
    </x:row>
    <x:row r="27">
      <x:c r="A27" s="34" t="str">
        <x:v>ART-022</x:v>
      </x:c>
      <x:c r="B27" s="34" t="str">
        <x:v>docs/modules/</x:v>
      </x:c>
      <x:c r="C27" s="34" t="str">
        <x:v>Committed</x:v>
      </x:c>
      <x:c r="D27" s="34" t="str">
        <x:v>Module contracts</x:v>
      </x:c>
      <x:c r="E27" s="34" t="str">
        <x:v>all software tasks</x:v>
      </x:c>
      <x:c r="F27" s="34" t="str">
        <x:v>Path is relative to repository or release root.</x:v>
      </x:c>
      <x:c r="G27" s="34" t="str">
        <x:v>not_started</x:v>
      </x:c>
      <x:c r="H27" s="34" t="str"/>
    </x:row>
    <x:row r="28">
      <x:c r="A28" s="10" t="str">
        <x:v>ART-023</x:v>
      </x:c>
      <x:c r="B28" s="10" t="str">
        <x:v>docs/validation/</x:v>
      </x:c>
      <x:c r="C28" s="10" t="str">
        <x:v>Committed summaries only</x:v>
      </x:c>
      <x:c r="D28" s="10" t="str">
        <x:v>Bench methods, result summaries, pass or fail, secure raw-data references</x:v>
      </x:c>
      <x:c r="E28" s="10" t="str">
        <x:v>P7.2:P7.7</x:v>
      </x:c>
      <x:c r="F28" s="10" t="str">
        <x:v>Path is relative to repository or release root.</x:v>
      </x:c>
      <x:c r="G28" s="10" t="str">
        <x:v>not_started</x:v>
      </x:c>
      <x:c r="H28" s="10" t="str"/>
    </x:row>
    <x:row r="29">
      <x:c r="A29" s="34" t="str">
        <x:v>ART-024</x:v>
      </x:c>
      <x:c r="B29" s="34" t="str">
        <x:v>docs/operator/</x:v>
      </x:c>
      <x:c r="C29" s="34" t="str">
        <x:v>Committed</x:v>
      </x:c>
      <x:c r="D29" s="34" t="str">
        <x:v>Daily, pre-session, run, post-session, and troubleshooting procedures</x:v>
      </x:c>
      <x:c r="E29" s="34" t="str">
        <x:v>P8.2</x:v>
      </x:c>
      <x:c r="F29" s="34" t="str">
        <x:v>Path is relative to repository or release root.</x:v>
      </x:c>
      <x:c r="G29" s="34" t="str">
        <x:v>not_started</x:v>
      </x:c>
      <x:c r="H29" s="34" t="str"/>
    </x:row>
    <x:row r="30">
      <x:c r="A30" s="10" t="str">
        <x:v>ART-025</x:v>
      </x:c>
      <x:c r="B30" s="10" t="str">
        <x:v>data/</x:v>
      </x:c>
      <x:c r="C30" s="10" t="str">
        <x:v>Never committed</x:v>
      </x:c>
      <x:c r="D30" s="10" t="str">
        <x:v>Research data and participant calibration</x:v>
      </x:c>
      <x:c r="E30" s="10" t="str">
        <x:v>P2.5, P8.3</x:v>
      </x:c>
      <x:c r="F30" s="10" t="str">
        <x:v>Path is relative to repository or release root.</x:v>
      </x:c>
      <x:c r="G30" s="10" t="str">
        <x:v>not_started</x:v>
      </x:c>
      <x:c r="H30" s="10" t="str"/>
    </x:row>
    <x:row r="31">
      <x:c r="A31" s="34" t="str">
        <x:v>ART-026</x:v>
      </x:c>
      <x:c r="B31" s="34" t="str">
        <x:v>local.json</x:v>
      </x:c>
      <x:c r="C31" s="34" t="str">
        <x:v>Generated untracked</x:v>
      </x:c>
      <x:c r="D31" s="34" t="str">
        <x:v>Machine-specific display and data paths</x:v>
      </x:c>
      <x:c r="E31" s="34" t="str">
        <x:v>P3.5</x:v>
      </x:c>
      <x:c r="F31" s="34" t="str">
        <x:v>Path is relative to repository or release root.</x:v>
      </x:c>
      <x:c r="G31" s="34" t="str">
        <x:v>not_started</x:v>
      </x:c>
      <x:c r="H31" s="34" t="str"/>
    </x:row>
    <x:row r="32">
      <x:c r="A32" s="33" t="str">
        <x:v>ART-027</x:v>
      </x:c>
      <x:c r="B32" s="33" t="str">
        <x:v>ELTS-study-v*/</x:v>
      </x:c>
      <x:c r="C32" s="33" t="str">
        <x:v>Release artifact</x:v>
      </x:c>
      <x:c r="D32" s="33" t="str">
        <x:v>Self-contained study package with manifest and provenance</x:v>
      </x:c>
      <x:c r="E32" s="33" t="str">
        <x:v>P8.7</x:v>
      </x:c>
      <x:c r="F32" s="33" t="str">
        <x:v>Path is relative to repository or release root.</x:v>
      </x:c>
      <x:c r="G32" s="33" t="str">
        <x:v>not_started</x:v>
      </x:c>
      <x:c r="H32" s="33" t="str"/>
    </x:row>
  </x:sheetData>
  <x:mergeCells>
    <x:mergeCell ref="A1:H1"/>
    <x:mergeCell ref="A2:H2"/>
  </x:mergeCells>
  <x:conditionalFormatting sqref="G6:G32">
    <x:cfRule type="containsText" dxfId="35" priority="1" operator="containsText" text="done"/>
    <x:cfRule type="containsText" dxfId="36" priority="2" operator="containsText" text="passed"/>
    <x:cfRule type="containsText" dxfId="37" priority="3" operator="containsText" text="in_progress"/>
    <x:cfRule type="containsText" dxfId="38" priority="4" operator="containsText" text="verification_pending"/>
    <x:cfRule type="containsText" dxfId="39" priority="5" operator="containsText" text="ready"/>
    <x:cfRule type="containsText" dxfId="40" priority="6" operator="containsText" text="blocked"/>
    <x:cfRule type="containsText" dxfId="41" priority="7" operator="containsText" text="fail"/>
  </x:conditionalFormatting>
  <x:dataValidations count="1">
    <x:dataValidation type="list" sqref="G6:G32">
      <x:formula1>"not_started,ready,in_progress,blocked,verification_pending,done,superseded"</x:formula1>
    </x:dataValidation>
  </x:dataValidations>
  <x:pageMargins left="0.7" right="0.7" top="0.75" bottom="0.75" header="0.3" footer="0.3"/>
  <x:tableParts count="1">
    <x:tablePart xmlns:r="http://schemas.openxmlformats.org/officeDocument/2006/relationships" r:id="R675ef2714a2d4588"/>
  </x:tableParts>
</x:worksheet>
</file>

<file path=xl/worksheets/sheet11.xml><?xml version="1.0" encoding="utf-8"?>
<x:worksheet xmlns:x="http://schemas.openxmlformats.org/spreadsheetml/2006/main">
  <x:sheetPr>
    <x:tabColor rgb="FFC00000"/>
  </x:sheetPr>
  <x:sheetViews>
    <x:sheetView showGridLines="0" workbookViewId="0">
      <x:pane xSplit="1" ySplit="5" topLeftCell="B6" activePane="bottomRight" state="frozen"/>
    </x:sheetView>
  </x:sheetViews>
  <x:sheetFormatPr defaultRowHeight="15"/>
  <x:cols>
    <x:col min="1" max="1" width="12" hidden="0" customWidth="1"/>
    <x:col min="2" max="2" width="48" hidden="0" customWidth="1"/>
    <x:col min="3" max="3" width="42" hidden="0" customWidth="1"/>
    <x:col min="4" max="4" width="66" hidden="0" customWidth="1"/>
    <x:col min="5" max="5" width="25" hidden="0" customWidth="1"/>
    <x:col min="6" max="6" width="28" hidden="0" customWidth="1"/>
    <x:col min="7" max="7" width="15" hidden="0" customWidth="1"/>
    <x:col min="8" max="8" width="28" hidden="0" customWidth="1"/>
    <x:col min="9" max="9" width="30" hidden="0" customWidth="1"/>
  </x:cols>
  <x:sheetData>
    <x:row r="1" ht="28" customHeight="1">
      <x:c r="A1" s="1" t="str">
        <x:v>Risk register</x:v>
      </x:c>
    </x:row>
    <x:row r="2">
      <x:c r="A2" s="2" t="str">
        <x:v>Build-plan risks plus repository portability, data, and multi-agent governance risks.</x:v>
      </x:c>
    </x:row>
    <x:row r="3">
      <x:c r="A3" s="3"/>
      <x:c r="B3" s="3"/>
      <x:c r="C3" s="3"/>
      <x:c r="D3" s="3"/>
      <x:c r="E3" s="3"/>
      <x:c r="F3" s="3"/>
      <x:c r="G3" s="3"/>
      <x:c r="H3" s="3"/>
      <x:c r="I3" s="3"/>
    </x:row>
    <x:row r="5" ht="32" customHeight="1">
      <x:c r="A5" s="31" t="str">
        <x:v>Risk ID</x:v>
      </x:c>
      <x:c r="B5" s="31" t="str">
        <x:v>Risk</x:v>
      </x:c>
      <x:c r="C5" s="31" t="str">
        <x:v>Effect</x:v>
      </x:c>
      <x:c r="D5" s="31" t="str">
        <x:v>Mitigation</x:v>
      </x:c>
      <x:c r="E5" s="31" t="str">
        <x:v>Verified By</x:v>
      </x:c>
      <x:c r="F5" s="31" t="str">
        <x:v>Owner</x:v>
      </x:c>
      <x:c r="G5" s="31" t="str">
        <x:v>Status</x:v>
      </x:c>
      <x:c r="H5" s="31" t="str">
        <x:v>Evidence or Review Date</x:v>
      </x:c>
      <x:c r="I5" s="31" t="str">
        <x:v>Notes</x:v>
      </x:c>
    </x:row>
    <x:row r="6">
      <x:c r="A6" s="10" t="str">
        <x:v>R-01</x:v>
      </x:c>
      <x:c r="B6" s="10" t="str">
        <x:v>ELTS emission degrades Lighthouse tracking in WE blocks</x:v>
      </x:c>
      <x:c r="C6" s="10" t="str">
        <x:v>Loses exactly the data that matters</x:v>
      </x:c>
      <x:c r="D6" s="10" t="str">
        <x:v>White phosphor COB LEDs emit negligibly above 750 nm (§8); bench test at full intensity</x:v>
      </x:c>
      <x:c r="E6" s="10" t="str">
        <x:v>P7.2</x:v>
      </x:c>
      <x:c r="F6" s="10" t="str">
        <x:v>Assigned during planning</x:v>
      </x:c>
      <x:c r="G6" s="10" t="str">
        <x:v>open</x:v>
      </x:c>
      <x:c r="H6" s="10" t="str"/>
      <x:c r="I6" s="10" t="str"/>
    </x:row>
    <x:row r="7">
      <x:c r="A7" s="34" t="str">
        <x:v>R-02</x:v>
      </x:c>
      <x:c r="B7" s="34" t="str">
        <x:v>Brio's Windows Hello IR illuminator is active under the Jetson pipeline</x:v>
      </x:c>
      <x:c r="C7" s="34" t="str">
        <x:v>Same as R-01</x:v>
      </x:c>
      <x:c r="D7" s="34" t="str">
        <x:v>Confirm the IR stream is not opened; include the Brio in the IR test</x:v>
      </x:c>
      <x:c r="E7" s="34" t="str">
        <x:v>P7.2</x:v>
      </x:c>
      <x:c r="F7" s="34" t="str">
        <x:v>Assigned during planning</x:v>
      </x:c>
      <x:c r="G7" s="34" t="str">
        <x:v>open</x:v>
      </x:c>
      <x:c r="H7" s="34" t="str"/>
      <x:c r="I7" s="34" t="str"/>
    </x:row>
    <x:row r="8">
      <x:c r="A8" s="10" t="str">
        <x:v>R-03</x:v>
      </x:c>
      <x:c r="B8" s="10" t="str">
        <x:v>ELTS light spills onto the display (washout)</x:v>
      </x:c>
      <x:c r="C8" s="10" t="str">
        <x:v>Confounds glare with target visibility</x:v>
      </x:c>
      <x:c r="D8" s="10" t="str">
        <x:v>Placement geometry (D-02); measured luminance on/off; aim limits on the ELTS if needed</x:v>
      </x:c>
      <x:c r="E8" s="10" t="str">
        <x:v>P7.3</x:v>
      </x:c>
      <x:c r="F8" s="10" t="str">
        <x:v>Assigned during planning</x:v>
      </x:c>
      <x:c r="G8" s="10" t="str">
        <x:v>open</x:v>
      </x:c>
      <x:c r="H8" s="10" t="str"/>
      <x:c r="I8" s="10" t="str"/>
    </x:row>
    <x:row r="9">
      <x:c r="A9" s="34" t="str">
        <x:v>R-04</x:v>
      </x:c>
      <x:c r="B9" s="34" t="str">
        <x:v>Single-station occlusion</x:v>
      </x:c>
      <x:c r="C9" s="34" t="str">
        <x:v>Dropouts</x:v>
      </x:c>
      <x:c r="D9" s="34" t="str">
        <x:v>Log validity flags; exclude, never interpolate; characterize rate; adjust station placement</x:v>
      </x:c>
      <x:c r="E9" s="34" t="str">
        <x:v>P7.4</x:v>
      </x:c>
      <x:c r="F9" s="34" t="str">
        <x:v>Assigned during planning</x:v>
      </x:c>
      <x:c r="G9" s="34" t="str">
        <x:v>open</x:v>
      </x:c>
      <x:c r="H9" s="34" t="str"/>
      <x:c r="I9" s="34" t="str"/>
    </x:row>
    <x:row r="10">
      <x:c r="A10" s="10" t="str">
        <x:v>R-05</x:v>
      </x:c>
      <x:c r="B10" s="10" t="str">
        <x:v>Head tracking error / mount shift makes the scene swim</x:v>
      </x:c>
      <x:c r="C10" s="10" t="str">
        <x:v>Stimulus artifact</x:v>
      </x:c>
      <x:c r="D10" s="10" t="str">
        <x:v>Rigid non-stretch headband; rigidity test; corner rods; small rendering-only prediction</x:v>
      </x:c>
      <x:c r="E10" s="10" t="str">
        <x:v>P1.14, P3.3, P3.6</x:v>
      </x:c>
      <x:c r="F10" s="10" t="str">
        <x:v>Assigned during planning</x:v>
      </x:c>
      <x:c r="G10" s="10" t="str">
        <x:v>open</x:v>
      </x:c>
      <x:c r="H10" s="10" t="str"/>
      <x:c r="I10" s="10" t="str"/>
    </x:row>
    <x:row r="11">
      <x:c r="A11" s="34" t="str">
        <x:v>R-06</x:v>
      </x:c>
      <x:c r="B11" s="34" t="str">
        <x:v>Tracking universe origin moves between sessions</x:v>
      </x:c>
      <x:c r="C11" s="34" t="str">
        <x:v>Silent registration error</x:v>
      </x:c>
      <x:c r="D11" s="34" t="str">
        <x:v>RawAndUncalibrated universe; daily bore-laser check; corner rods</x:v>
      </x:c>
      <x:c r="E11" s="34" t="str">
        <x:v>P1.7, P5.9</x:v>
      </x:c>
      <x:c r="F11" s="34" t="str">
        <x:v>Assigned during planning</x:v>
      </x:c>
      <x:c r="G11" s="34" t="str">
        <x:v>open</x:v>
      </x:c>
      <x:c r="H11" s="34" t="str"/>
      <x:c r="I11" s="34" t="str"/>
    </x:row>
    <x:row r="12">
      <x:c r="A12" s="10" t="str">
        <x:v>R-07</x:v>
      </x:c>
      <x:c r="B12" s="10" t="str">
        <x:v>Trackers swap roles between sessions</x:v>
      </x:c>
      <x:c r="C12" s="10" t="str">
        <x:v>Weapon and head data exchanged</x:v>
      </x:c>
      <x:c r="D12" s="10" t="str">
        <x:v>Serial-number binding; startup self-check shows which serial is which</x:v>
      </x:c>
      <x:c r="E12" s="10" t="str">
        <x:v>P1.5, P4.12</x:v>
      </x:c>
      <x:c r="F12" s="10" t="str">
        <x:v>Assigned during planning</x:v>
      </x:c>
      <x:c r="G12" s="10" t="str">
        <x:v>open</x:v>
      </x:c>
      <x:c r="H12" s="10" t="str"/>
      <x:c r="I12" s="10" t="str"/>
    </x:row>
    <x:row r="13">
      <x:c r="A13" s="34" t="str">
        <x:v>R-08</x:v>
      </x:c>
      <x:c r="B13" s="34" t="str">
        <x:v>Trigger reads false (role not held-in-hand)</x:v>
      </x:c>
      <x:c r="C13" s="34" t="str">
        <x:v>No shots</x:v>
      </x:c>
      <x:c r="D13" s="34" t="str">
        <x:v>Role set in SteamVR; self-check requires one trigger press before a session</x:v>
      </x:c>
      <x:c r="E13" s="34" t="str">
        <x:v>P1.8, P4.12</x:v>
      </x:c>
      <x:c r="F13" s="34" t="str">
        <x:v>Assigned during planning</x:v>
      </x:c>
      <x:c r="G13" s="34" t="str">
        <x:v>open</x:v>
      </x:c>
      <x:c r="H13" s="34" t="str"/>
      <x:c r="I13" s="34" t="str"/>
    </x:row>
    <x:row r="14">
      <x:c r="A14" s="10" t="str">
        <x:v>R-09</x:v>
      </x:c>
      <x:c r="B14" s="10" t="str">
        <x:v>Pose prediction contaminates the DV</x:v>
      </x:c>
      <x:c r="C14" s="10" t="str">
        <x:v>Biased aim error</x:v>
      </x:c>
      <x:c r="D14" s="10" t="str">
        <x:v>0 s prediction on the tracking thread; rendering prediction never enters the log</x:v>
      </x:c>
      <x:c r="E14" s="10" t="str">
        <x:v>P2.3, P3.6</x:v>
      </x:c>
      <x:c r="F14" s="10" t="str">
        <x:v>Assigned during planning</x:v>
      </x:c>
      <x:c r="G14" s="10" t="str">
        <x:v>open</x:v>
      </x:c>
      <x:c r="H14" s="10" t="str"/>
      <x:c r="I14" s="10" t="str"/>
    </x:row>
    <x:row r="15">
      <x:c r="A15" s="34" t="str">
        <x:v>R-10</x:v>
      </x:c>
      <x:c r="B15" s="34" t="str">
        <x:v>Two clocks (Unity, Jetson) drift</x:v>
      </x:c>
      <x:c r="C15" s="34" t="str">
        <x:v>ELTS on/off misaligned with aim data</x:v>
      </x:c>
      <x:c r="D15" s="34" t="str">
        <x:v>Ack timestamps and offset estimation per command; heartbeat; Jetson event log</x:v>
      </x:c>
      <x:c r="E15" s="34" t="str">
        <x:v>P6.3, P6.11</x:v>
      </x:c>
      <x:c r="F15" s="34" t="str">
        <x:v>Assigned during planning</x:v>
      </x:c>
      <x:c r="G15" s="34" t="str">
        <x:v>open</x:v>
      </x:c>
      <x:c r="H15" s="34" t="str"/>
      <x:c r="I15" s="34" t="str"/>
    </x:row>
    <x:row r="16">
      <x:c r="A16" s="10" t="str">
        <x:v>R-11</x:v>
      </x:c>
      <x:c r="B16" s="10" t="str">
        <x:v>LEDs stay on after a software failure</x:v>
      </x:c>
      <x:c r="C16" s="10" t="str">
        <x:v>Exposure beyond protocol</x:v>
      </x:c>
      <x:c r="D16" s="10" t="str">
        <x:v>Heartbeat timeout; max on-time guard; physical E-stop</x:v>
      </x:c>
      <x:c r="E16" s="10" t="str">
        <x:v>P6.12</x:v>
      </x:c>
      <x:c r="F16" s="10" t="str">
        <x:v>Assigned during planning</x:v>
      </x:c>
      <x:c r="G16" s="10" t="str">
        <x:v>open</x:v>
      </x:c>
      <x:c r="H16" s="10" t="str"/>
      <x:c r="I16" s="10" t="str"/>
    </x:row>
    <x:row r="17">
      <x:c r="A17" s="34" t="str">
        <x:v>R-12</x:v>
      </x:c>
      <x:c r="B17" s="34" t="str">
        <x:v>Dropped samples under load</x:v>
      </x:c>
      <x:c r="C17" s="34" t="str">
        <x:v>Gaps in the DV</x:v>
      </x:c>
      <x:c r="D17" s="34" t="str">
        <x:v>Lock-free ring buffer; sequence numbers; drop counter on the operator panel; soak tests</x:v>
      </x:c>
      <x:c r="E17" s="34" t="str">
        <x:v>P2.5, P7.6</x:v>
      </x:c>
      <x:c r="F17" s="34" t="str">
        <x:v>Assigned during planning</x:v>
      </x:c>
      <x:c r="G17" s="34" t="str">
        <x:v>open</x:v>
      </x:c>
      <x:c r="H17" s="34" t="str"/>
      <x:c r="I17" s="34" t="str"/>
    </x:row>
    <x:row r="18">
      <x:c r="A18" s="10" t="str">
        <x:v>R-13</x:v>
      </x:c>
      <x:c r="B18" s="10" t="str">
        <x:v>Operator view appears on the participant display</x:v>
      </x:c>
      <x:c r="C18" s="10" t="str">
        <x:v>Contaminated stimulus</x:v>
      </x:c>
      <x:c r="D18" s="10" t="str">
        <x:v>Fixed display assignment in config; identification splash; refusal with &lt; 2 displays</x:v>
      </x:c>
      <x:c r="E18" s="10" t="str">
        <x:v>P3.5</x:v>
      </x:c>
      <x:c r="F18" s="10" t="str">
        <x:v>Assigned during planning</x:v>
      </x:c>
      <x:c r="G18" s="10" t="str">
        <x:v>open</x:v>
      </x:c>
      <x:c r="H18" s="10" t="str"/>
      <x:c r="I18" s="10" t="str"/>
    </x:row>
    <x:row r="19">
      <x:c r="A19" s="34" t="str">
        <x:v>R-14</x:v>
      </x:c>
      <x:c r="B19" s="34" t="str">
        <x:v>Frame hitches on the stimulus display</x:v>
      </x:c>
      <x:c r="C19" s="34" t="str">
        <x:v>Stimulus artifact, possible aim disruption</x:v>
      </x:c>
      <x:c r="D19" s="34" t="str">
        <x:v>Light scene; profiling; FrameHitch events logged</x:v>
      </x:c>
      <x:c r="E19" s="34" t="str">
        <x:v>P3.7, P7.6</x:v>
      </x:c>
      <x:c r="F19" s="34" t="str">
        <x:v>Assigned during planning</x:v>
      </x:c>
      <x:c r="G19" s="34" t="str">
        <x:v>open</x:v>
      </x:c>
      <x:c r="H19" s="34" t="str"/>
      <x:c r="I19" s="34" t="str"/>
    </x:row>
    <x:row r="20">
      <x:c r="A20" s="10" t="str">
        <x:v>R-15</x:v>
      </x:c>
      <x:c r="B20" s="10" t="str">
        <x:v>Data loss (crash, power)</x:v>
      </x:c>
      <x:c r="C20" s="10" t="str">
        <x:v>Lost session</x:v>
      </x:c>
      <x:c r="D20" s="10" t="str">
        <x:v>Per-block files; 250 ms flush; fsync at block end; nightly backup with checksums</x:v>
      </x:c>
      <x:c r="E20" s="10" t="str">
        <x:v>P2.5, P8.3</x:v>
      </x:c>
      <x:c r="F20" s="10" t="str">
        <x:v>Assigned during planning</x:v>
      </x:c>
      <x:c r="G20" s="10" t="str">
        <x:v>open</x:v>
      </x:c>
      <x:c r="H20" s="10" t="str"/>
      <x:c r="I20" s="10" t="str"/>
    </x:row>
    <x:row r="21">
      <x:c r="A21" s="34" t="str">
        <x:v>R-16</x:v>
      </x:c>
      <x:c r="B21" s="34" t="str">
        <x:v>Headband incompatible with eye tracker or IMU</x:v>
      </x:c>
      <x:c r="C21" s="34" t="str">
        <x:v>Late redesign</x:v>
      </x:c>
      <x:c r="D21" s="34" t="str">
        <x:v>Early compatibility fit with the real devices</x:v>
      </x:c>
      <x:c r="E21" s="34" t="str">
        <x:v>§13.2</x:v>
      </x:c>
      <x:c r="F21" s="34" t="str">
        <x:v>Assigned during planning</x:v>
      </x:c>
      <x:c r="G21" s="34" t="str">
        <x:v>open</x:v>
      </x:c>
      <x:c r="H21" s="34" t="str"/>
      <x:c r="I21" s="34" t="str"/>
    </x:row>
    <x:row r="22">
      <x:c r="A22" s="10" t="str">
        <x:v>R-17</x:v>
      </x:c>
      <x:c r="B22" s="10" t="str">
        <x:v>Scope creep from "modular for future studies"</x:v>
      </x:c>
      <x:c r="C22" s="10" t="str">
        <x:v>Schedule</x:v>
      </x:c>
      <x:c r="D22" s="10" t="str">
        <x:v>The extension points in §12.5 are the modularity; anything beyond them is deferred past study-v1.0</x:v>
      </x:c>
      <x:c r="E22" s="10" t="str">
        <x:v>Phase reviews</x:v>
      </x:c>
      <x:c r="F22" s="10" t="str">
        <x:v>Assigned during planning</x:v>
      </x:c>
      <x:c r="G22" s="10" t="str">
        <x:v>open</x:v>
      </x:c>
      <x:c r="H22" s="10" t="str"/>
      <x:c r="I22" s="10" t="str"/>
    </x:row>
    <x:row r="23">
      <x:c r="A23" s="34" t="str">
        <x:v>R-18</x:v>
      </x:c>
      <x:c r="B23" s="34" t="str">
        <x:v>Registration error with scale/skew components (does not cancel within-subjects)</x:v>
      </x:c>
      <x:c r="C23" s="34" t="str">
        <x:v>Biased condition differences</x:v>
      </x:c>
      <x:c r="D23" s="34" t="str">
        <x:v>Corner-probe tolerances on the lengths of U and V and on their angle; prioritize corner spacing over absolute position (§5.5)</x:v>
      </x:c>
      <x:c r="E23" s="34" t="str">
        <x:v>P5.4, P7.5</x:v>
      </x:c>
      <x:c r="F23" s="34" t="str">
        <x:v>Assigned during planning</x:v>
      </x:c>
      <x:c r="G23" s="34" t="str">
        <x:v>open</x:v>
      </x:c>
      <x:c r="H23" s="34" t="str"/>
      <x:c r="I23" s="34" t="str"/>
    </x:row>
    <x:row r="24">
      <x:c r="A24" s="10" t="str">
        <x:v>R-19</x:v>
      </x:c>
      <x:c r="B24" s="10" t="str">
        <x:v>Realistic replica on campus</x:v>
      </x:c>
      <x:c r="C24" s="10" t="str">
        <x:v>Incident</x:v>
      </x:c>
      <x:c r="D24" s="10" t="str">
        <x:v>Bright color, label, locked storage, written notice</x:v>
      </x:c>
      <x:c r="E24" s="10" t="str">
        <x:v>P0.6, §13.4</x:v>
      </x:c>
      <x:c r="F24" s="10" t="str">
        <x:v>Assigned during planning</x:v>
      </x:c>
      <x:c r="G24" s="10" t="str">
        <x:v>open</x:v>
      </x:c>
      <x:c r="H24" s="10" t="str"/>
      <x:c r="I24" s="10" t="str"/>
    </x:row>
    <x:row r="25">
      <x:c r="A25" s="34" t="str">
        <x:v>R-20</x:v>
      </x:c>
      <x:c r="B25" s="34" t="str">
        <x:v>Procurement lead time</x:v>
      </x:c>
      <x:c r="C25" s="34" t="str">
        <x:v>Phase 1 slips</x:v>
      </x:c>
      <x:c r="D25" s="34" t="str">
        <x:v>Order on day 1; Phase 2 proceeds on synthetic poses</x:v>
      </x:c>
      <x:c r="E25" s="34" t="str">
        <x:v>P0.1, P2.9</x:v>
      </x:c>
      <x:c r="F25" s="34" t="str">
        <x:v>Assigned during planning</x:v>
      </x:c>
      <x:c r="G25" s="34" t="str">
        <x:v>open</x:v>
      </x:c>
      <x:c r="H25" s="34" t="str"/>
      <x:c r="I25" s="34" t="str"/>
    </x:row>
    <x:row r="26">
      <x:c r="A26" s="10" t="str">
        <x:v>R-21</x:v>
      </x:c>
      <x:c r="B26" s="10" t="str">
        <x:v>Participant trips or bumps equipment while moving</x:v>
      </x:c>
      <x:c r="C26" s="10" t="str">
        <x:v>Injury / rig shift</x:v>
      </x:c>
      <x:c r="D26" s="10" t="str">
        <x:v>Clear standing zone; cable-free participant (trackers are wireless); daily rig check</x:v>
      </x:c>
      <x:c r="E26" s="10" t="str">
        <x:v>D-02, P5.9</x:v>
      </x:c>
      <x:c r="F26" s="10" t="str">
        <x:v>Assigned during planning</x:v>
      </x:c>
      <x:c r="G26" s="10" t="str">
        <x:v>open</x:v>
      </x:c>
      <x:c r="H26" s="10" t="str"/>
      <x:c r="I26" s="10" t="str"/>
    </x:row>
    <x:row r="27">
      <x:c r="A27" s="34" t="str">
        <x:v>R-22</x:v>
      </x:c>
      <x:c r="B27" s="34" t="str">
        <x:v>Agent or workbook status diverges from repository state</x:v>
      </x:c>
      <x:c r="C27" s="34" t="str">
        <x:v>The team acts on stale progress</x:v>
      </x:c>
      <x:c r="D27" s="34" t="str">
        <x:v>Append-only progress events, deterministic reducer, CI regeneration check; JSON state overrides workbook status</x:v>
      </x:c>
      <x:c r="E27" s="34" t="str">
        <x:v>STATE-003, STATE-004</x:v>
      </x:c>
      <x:c r="F27" s="34" t="str">
        <x:v>Repository maintainer</x:v>
      </x:c>
      <x:c r="G27" s="34" t="str">
        <x:v>open</x:v>
      </x:c>
      <x:c r="H27" s="34" t="str"/>
      <x:c r="I27" s="34" t="str"/>
    </x:row>
    <x:row r="28">
      <x:c r="A28" s="10" t="str">
        <x:v>R-23</x:v>
      </x:c>
      <x:c r="B28" s="10" t="str">
        <x:v>Two agents edit the same task or files concurrently</x:v>
      </x:c>
      <x:c r="C28" s="10" t="str">
        <x:v>Conflicts or inconsistent implementations</x:v>
      </x:c>
      <x:c r="D28" s="10" t="str">
        <x:v>One owner and branch per task; declared path claims; separate worktrees; reducer rejects divergent task event chains</x:v>
      </x:c>
      <x:c r="E28" s="10" t="str">
        <x:v>AI-003, AI-012</x:v>
      </x:c>
      <x:c r="F28" s="10" t="str">
        <x:v>Repository maintainer</x:v>
      </x:c>
      <x:c r="G28" s="10" t="str">
        <x:v>open</x:v>
      </x:c>
      <x:c r="H28" s="10" t="str"/>
      <x:c r="I28" s="10" t="str"/>
    </x:row>
    <x:row r="29">
      <x:c r="A29" s="34" t="str">
        <x:v>R-24</x:v>
      </x:c>
      <x:c r="B29" s="34" t="str">
        <x:v>Toolchain or dependency drift across machines</x:v>
      </x:c>
      <x:c r="C29" s="34" t="str">
        <x:v>Builds or analyses cannot be reproduced</x:v>
      </x:c>
      <x:c r="D29" s="34" t="str">
        <x:v>Exact versions, lockfiles, doctor reports, clean-machine portability tests</x:v>
      </x:c>
      <x:c r="E29" s="34" t="str">
        <x:v>BUILD-001, BUILD-002, POR-009</x:v>
      </x:c>
      <x:c r="F29" s="34" t="str">
        <x:v>Developer</x:v>
      </x:c>
      <x:c r="G29" s="34" t="str">
        <x:v>open</x:v>
      </x:c>
      <x:c r="H29" s="34" t="str"/>
      <x:c r="I29" s="34" t="str"/>
    </x:row>
    <x:row r="30">
      <x:c r="A30" s="10" t="str">
        <x:v>R-25</x:v>
      </x:c>
      <x:c r="B30" s="10" t="str">
        <x:v>Secrets, hardware identifiers, or research data enter the public repository</x:v>
      </x:c>
      <x:c r="C30" s="10" t="str">
        <x:v>Privacy, security, or compliance incident</x:v>
      </x:c>
      <x:c r="D30" s="10" t="str">
        <x:v>Templates only, deny patterns, secret/data scans, human review, private deployment overlays where required</x:v>
      </x:c>
      <x:c r="E30" s="10" t="str">
        <x:v>DATA-001, DATA-002, CFG-005</x:v>
      </x:c>
      <x:c r="F30" s="10" t="str">
        <x:v>Investigator and maintainer</x:v>
      </x:c>
      <x:c r="G30" s="10" t="str">
        <x:v>open</x:v>
      </x:c>
      <x:c r="H30" s="10" t="str"/>
      <x:c r="I30" s="10" t="str"/>
    </x:row>
    <x:row r="31">
      <x:c r="A31" s="41" t="str">
        <x:v>R-26</x:v>
      </x:c>
      <x:c r="B31" s="41" t="str">
        <x:v>An AI-generated change alters a scientific invariant or safety control</x:v>
      </x:c>
      <x:c r="C31" s="41" t="str">
        <x:v>Invalid study data or unsafe operation</x:v>
      </x:c>
      <x:c r="D31" s="41" t="str">
        <x:v>Invariant tests, protected paths, human approval, gate re-verification</x:v>
      </x:c>
      <x:c r="E31" s="41" t="str">
        <x:v>AI-005, AI-006, SAFE-003</x:v>
      </x:c>
      <x:c r="F31" s="41" t="str">
        <x:v>Investigator</x:v>
      </x:c>
      <x:c r="G31" s="41" t="str">
        <x:v>open</x:v>
      </x:c>
      <x:c r="H31" s="41" t="str"/>
      <x:c r="I31" s="41" t="str"/>
    </x:row>
  </x:sheetData>
  <x:mergeCells>
    <x:mergeCell ref="A1:I1"/>
    <x:mergeCell ref="A2:I2"/>
  </x:mergeCells>
  <x:dataValidations count="1">
    <x:dataValidation type="list" sqref="G6:G31">
      <x:formula1>"open,monitoring,mitigated,accepted,closed"</x:formula1>
    </x:dataValidation>
  </x:dataValidations>
  <x:pageMargins left="0.7" right="0.7" top="0.75" bottom="0.75" header="0.3" footer="0.3"/>
  <x:tableParts count="1">
    <x:tablePart xmlns:r="http://schemas.openxmlformats.org/officeDocument/2006/relationships" r:id="Rea19588f81604fed"/>
  </x:tableParts>
</x:worksheet>
</file>

<file path=xl/worksheets/sheet12.xml><?xml version="1.0" encoding="utf-8"?>
<x:worksheet xmlns:x="http://schemas.openxmlformats.org/spreadsheetml/2006/main">
  <x:sheetPr>
    <x:tabColor rgb="FF4472C4"/>
  </x:sheetPr>
  <x:sheetViews>
    <x:sheetView showGridLines="0" workbookViewId="0">
      <x:pane xSplit="2" ySplit="5" topLeftCell="C6" activePane="bottomRight" state="frozen"/>
    </x:sheetView>
  </x:sheetViews>
  <x:sheetFormatPr defaultRowHeight="15"/>
  <x:cols>
    <x:col min="1" max="1" width="17" hidden="0" customWidth="1"/>
    <x:col min="2" max="2" width="17" hidden="0" customWidth="1"/>
    <x:col min="3" max="3" width="20" hidden="0" customWidth="1"/>
    <x:col min="4" max="4" width="52" hidden="0" customWidth="1"/>
    <x:col min="5" max="5" width="58" hidden="0" customWidth="1"/>
    <x:col min="6" max="6" width="16" hidden="0" customWidth="1"/>
    <x:col min="7" max="7" width="42" hidden="0" customWidth="1"/>
    <x:col min="8" max="8" width="22" hidden="0" customWidth="1"/>
    <x:col min="9" max="9" width="20" hidden="0" customWidth="1"/>
    <x:col min="10" max="10" width="28" hidden="0" customWidth="1"/>
    <x:col min="11" max="11" width="34" hidden="0" customWidth="1"/>
  </x:cols>
  <x:sheetData>
    <x:row r="1" ht="28" customHeight="1">
      <x:c r="A1" s="1" t="str">
        <x:v>Evidence register</x:v>
      </x:c>
    </x:row>
    <x:row r="2">
      <x:c r="A2" s="2" t="str">
        <x:v>Template for resolvable evidence. Do not enter absolute local paths, participant identifiers, secrets, or raw study data.</x:v>
      </x:c>
    </x:row>
    <x:row r="3">
      <x:c r="A3" s="3"/>
      <x:c r="B3" s="3"/>
      <x:c r="C3" s="3"/>
      <x:c r="D3" s="3"/>
      <x:c r="E3" s="3"/>
      <x:c r="F3" s="3"/>
      <x:c r="G3" s="3"/>
      <x:c r="H3" s="3"/>
      <x:c r="I3" s="3"/>
      <x:c r="J3" s="3"/>
      <x:c r="K3" s="3"/>
    </x:row>
    <x:row r="5" ht="32" customHeight="1">
      <x:c r="A5" s="31" t="str">
        <x:v>Evidence ID</x:v>
      </x:c>
      <x:c r="B5" s="31" t="str">
        <x:v>Target ID</x:v>
      </x:c>
      <x:c r="C5" s="31" t="str">
        <x:v>Evidence Type</x:v>
      </x:c>
      <x:c r="D5" s="31" t="str">
        <x:v>Repository Relative Path or URL</x:v>
      </x:c>
      <x:c r="E5" s="31" t="str">
        <x:v>Verification Command or Method</x:v>
      </x:c>
      <x:c r="F5" s="31" t="str">
        <x:v>Result</x:v>
      </x:c>
      <x:c r="G5" s="31" t="str">
        <x:v>SHA-256</x:v>
      </x:c>
      <x:c r="H5" s="31" t="str">
        <x:v>Recorded By</x:v>
      </x:c>
      <x:c r="I5" s="31" t="str">
        <x:v>Recorded UTC</x:v>
      </x:c>
      <x:c r="J5" s="31" t="str">
        <x:v>Approval or Signoff</x:v>
      </x:c>
      <x:c r="K5" s="31" t="str">
        <x:v>Notes</x:v>
      </x:c>
    </x:row>
    <x:row r="6">
      <x:c r="A6" s="10" t="str"/>
      <x:c r="B6" s="10" t="str"/>
      <x:c r="C6" s="10" t="str"/>
      <x:c r="D6" s="10" t="str"/>
      <x:c r="E6" s="10" t="str"/>
      <x:c r="F6" s="10" t="str"/>
      <x:c r="G6" s="10" t="str"/>
      <x:c r="H6" s="10" t="str"/>
      <x:c r="I6" s="35" t="str"/>
      <x:c r="J6" s="10" t="str"/>
      <x:c r="K6" s="10" t="str"/>
    </x:row>
    <x:row r="7">
      <x:c r="A7" s="34" t="str"/>
      <x:c r="B7" s="34" t="str"/>
      <x:c r="C7" s="34" t="str"/>
      <x:c r="D7" s="34" t="str"/>
      <x:c r="E7" s="34" t="str"/>
      <x:c r="F7" s="34" t="str"/>
      <x:c r="G7" s="34" t="str"/>
      <x:c r="H7" s="34" t="str"/>
      <x:c r="I7" s="36" t="str"/>
      <x:c r="J7" s="34" t="str"/>
      <x:c r="K7" s="34" t="str"/>
    </x:row>
    <x:row r="8">
      <x:c r="A8" s="10" t="str"/>
      <x:c r="B8" s="10" t="str"/>
      <x:c r="C8" s="10" t="str"/>
      <x:c r="D8" s="10" t="str"/>
      <x:c r="E8" s="10" t="str"/>
      <x:c r="F8" s="10" t="str"/>
      <x:c r="G8" s="10" t="str"/>
      <x:c r="H8" s="10" t="str"/>
      <x:c r="I8" s="35" t="str"/>
      <x:c r="J8" s="10" t="str"/>
      <x:c r="K8" s="10" t="str"/>
    </x:row>
    <x:row r="9">
      <x:c r="A9" s="34" t="str"/>
      <x:c r="B9" s="34" t="str"/>
      <x:c r="C9" s="34" t="str"/>
      <x:c r="D9" s="34" t="str"/>
      <x:c r="E9" s="34" t="str"/>
      <x:c r="F9" s="34" t="str"/>
      <x:c r="G9" s="34" t="str"/>
      <x:c r="H9" s="34" t="str"/>
      <x:c r="I9" s="36" t="str"/>
      <x:c r="J9" s="34" t="str"/>
      <x:c r="K9" s="34" t="str"/>
    </x:row>
    <x:row r="10">
      <x:c r="A10" s="10" t="str"/>
      <x:c r="B10" s="10" t="str"/>
      <x:c r="C10" s="10" t="str"/>
      <x:c r="D10" s="10" t="str"/>
      <x:c r="E10" s="10" t="str"/>
      <x:c r="F10" s="10" t="str"/>
      <x:c r="G10" s="10" t="str"/>
      <x:c r="H10" s="10" t="str"/>
      <x:c r="I10" s="35" t="str"/>
      <x:c r="J10" s="10" t="str"/>
      <x:c r="K10" s="10" t="str"/>
    </x:row>
    <x:row r="11">
      <x:c r="A11" s="34" t="str"/>
      <x:c r="B11" s="34" t="str"/>
      <x:c r="C11" s="34" t="str"/>
      <x:c r="D11" s="34" t="str"/>
      <x:c r="E11" s="34" t="str"/>
      <x:c r="F11" s="34" t="str"/>
      <x:c r="G11" s="34" t="str"/>
      <x:c r="H11" s="34" t="str"/>
      <x:c r="I11" s="36" t="str"/>
      <x:c r="J11" s="34" t="str"/>
      <x:c r="K11" s="34" t="str"/>
    </x:row>
    <x:row r="12">
      <x:c r="A12" s="10" t="str"/>
      <x:c r="B12" s="10" t="str"/>
      <x:c r="C12" s="10" t="str"/>
      <x:c r="D12" s="10" t="str"/>
      <x:c r="E12" s="10" t="str"/>
      <x:c r="F12" s="10" t="str"/>
      <x:c r="G12" s="10" t="str"/>
      <x:c r="H12" s="10" t="str"/>
      <x:c r="I12" s="35" t="str"/>
      <x:c r="J12" s="10" t="str"/>
      <x:c r="K12" s="10" t="str"/>
    </x:row>
    <x:row r="13">
      <x:c r="A13" s="34" t="str"/>
      <x:c r="B13" s="34" t="str"/>
      <x:c r="C13" s="34" t="str"/>
      <x:c r="D13" s="34" t="str"/>
      <x:c r="E13" s="34" t="str"/>
      <x:c r="F13" s="34" t="str"/>
      <x:c r="G13" s="34" t="str"/>
      <x:c r="H13" s="34" t="str"/>
      <x:c r="I13" s="36" t="str"/>
      <x:c r="J13" s="34" t="str"/>
      <x:c r="K13" s="34" t="str"/>
    </x:row>
    <x:row r="14">
      <x:c r="A14" s="10" t="str"/>
      <x:c r="B14" s="10" t="str"/>
      <x:c r="C14" s="10" t="str"/>
      <x:c r="D14" s="10" t="str"/>
      <x:c r="E14" s="10" t="str"/>
      <x:c r="F14" s="10" t="str"/>
      <x:c r="G14" s="10" t="str"/>
      <x:c r="H14" s="10" t="str"/>
      <x:c r="I14" s="35" t="str"/>
      <x:c r="J14" s="10" t="str"/>
      <x:c r="K14" s="10" t="str"/>
    </x:row>
    <x:row r="15">
      <x:c r="A15" s="34" t="str"/>
      <x:c r="B15" s="34" t="str"/>
      <x:c r="C15" s="34" t="str"/>
      <x:c r="D15" s="34" t="str"/>
      <x:c r="E15" s="34" t="str"/>
      <x:c r="F15" s="34" t="str"/>
      <x:c r="G15" s="34" t="str"/>
      <x:c r="H15" s="34" t="str"/>
      <x:c r="I15" s="36" t="str"/>
      <x:c r="J15" s="34" t="str"/>
      <x:c r="K15" s="34" t="str"/>
    </x:row>
    <x:row r="16">
      <x:c r="A16" s="10" t="str"/>
      <x:c r="B16" s="10" t="str"/>
      <x:c r="C16" s="10" t="str"/>
      <x:c r="D16" s="10" t="str"/>
      <x:c r="E16" s="10" t="str"/>
      <x:c r="F16" s="10" t="str"/>
      <x:c r="G16" s="10" t="str"/>
      <x:c r="H16" s="10" t="str"/>
      <x:c r="I16" s="35" t="str"/>
      <x:c r="J16" s="10" t="str"/>
      <x:c r="K16" s="10" t="str"/>
    </x:row>
    <x:row r="17">
      <x:c r="A17" s="34" t="str"/>
      <x:c r="B17" s="34" t="str"/>
      <x:c r="C17" s="34" t="str"/>
      <x:c r="D17" s="34" t="str"/>
      <x:c r="E17" s="34" t="str"/>
      <x:c r="F17" s="34" t="str"/>
      <x:c r="G17" s="34" t="str"/>
      <x:c r="H17" s="34" t="str"/>
      <x:c r="I17" s="36" t="str"/>
      <x:c r="J17" s="34" t="str"/>
      <x:c r="K17" s="34" t="str"/>
    </x:row>
    <x:row r="18">
      <x:c r="A18" s="10" t="str"/>
      <x:c r="B18" s="10" t="str"/>
      <x:c r="C18" s="10" t="str"/>
      <x:c r="D18" s="10" t="str"/>
      <x:c r="E18" s="10" t="str"/>
      <x:c r="F18" s="10" t="str"/>
      <x:c r="G18" s="10" t="str"/>
      <x:c r="H18" s="10" t="str"/>
      <x:c r="I18" s="35" t="str"/>
      <x:c r="J18" s="10" t="str"/>
      <x:c r="K18" s="10" t="str"/>
    </x:row>
    <x:row r="19">
      <x:c r="A19" s="34" t="str"/>
      <x:c r="B19" s="34" t="str"/>
      <x:c r="C19" s="34" t="str"/>
      <x:c r="D19" s="34" t="str"/>
      <x:c r="E19" s="34" t="str"/>
      <x:c r="F19" s="34" t="str"/>
      <x:c r="G19" s="34" t="str"/>
      <x:c r="H19" s="34" t="str"/>
      <x:c r="I19" s="36" t="str"/>
      <x:c r="J19" s="34" t="str"/>
      <x:c r="K19" s="34" t="str"/>
    </x:row>
    <x:row r="20">
      <x:c r="A20" s="10" t="str"/>
      <x:c r="B20" s="10" t="str"/>
      <x:c r="C20" s="10" t="str"/>
      <x:c r="D20" s="10" t="str"/>
      <x:c r="E20" s="10" t="str"/>
      <x:c r="F20" s="10" t="str"/>
      <x:c r="G20" s="10" t="str"/>
      <x:c r="H20" s="10" t="str"/>
      <x:c r="I20" s="35" t="str"/>
      <x:c r="J20" s="10" t="str"/>
      <x:c r="K20" s="10" t="str"/>
    </x:row>
    <x:row r="21">
      <x:c r="A21" s="34" t="str"/>
      <x:c r="B21" s="34" t="str"/>
      <x:c r="C21" s="34" t="str"/>
      <x:c r="D21" s="34" t="str"/>
      <x:c r="E21" s="34" t="str"/>
      <x:c r="F21" s="34" t="str"/>
      <x:c r="G21" s="34" t="str"/>
      <x:c r="H21" s="34" t="str"/>
      <x:c r="I21" s="36" t="str"/>
      <x:c r="J21" s="34" t="str"/>
      <x:c r="K21" s="34" t="str"/>
    </x:row>
    <x:row r="22">
      <x:c r="A22" s="10" t="str"/>
      <x:c r="B22" s="10" t="str"/>
      <x:c r="C22" s="10" t="str"/>
      <x:c r="D22" s="10" t="str"/>
      <x:c r="E22" s="10" t="str"/>
      <x:c r="F22" s="10" t="str"/>
      <x:c r="G22" s="10" t="str"/>
      <x:c r="H22" s="10" t="str"/>
      <x:c r="I22" s="35" t="str"/>
      <x:c r="J22" s="10" t="str"/>
      <x:c r="K22" s="10" t="str"/>
    </x:row>
    <x:row r="23">
      <x:c r="A23" s="34" t="str"/>
      <x:c r="B23" s="34" t="str"/>
      <x:c r="C23" s="34" t="str"/>
      <x:c r="D23" s="34" t="str"/>
      <x:c r="E23" s="34" t="str"/>
      <x:c r="F23" s="34" t="str"/>
      <x:c r="G23" s="34" t="str"/>
      <x:c r="H23" s="34" t="str"/>
      <x:c r="I23" s="36" t="str"/>
      <x:c r="J23" s="34" t="str"/>
      <x:c r="K23" s="34" t="str"/>
    </x:row>
    <x:row r="24">
      <x:c r="A24" s="10" t="str"/>
      <x:c r="B24" s="10" t="str"/>
      <x:c r="C24" s="10" t="str"/>
      <x:c r="D24" s="10" t="str"/>
      <x:c r="E24" s="10" t="str"/>
      <x:c r="F24" s="10" t="str"/>
      <x:c r="G24" s="10" t="str"/>
      <x:c r="H24" s="10" t="str"/>
      <x:c r="I24" s="35" t="str"/>
      <x:c r="J24" s="10" t="str"/>
      <x:c r="K24" s="10" t="str"/>
    </x:row>
    <x:row r="25">
      <x:c r="A25" s="34" t="str"/>
      <x:c r="B25" s="34" t="str"/>
      <x:c r="C25" s="34" t="str"/>
      <x:c r="D25" s="34" t="str"/>
      <x:c r="E25" s="34" t="str"/>
      <x:c r="F25" s="34" t="str"/>
      <x:c r="G25" s="34" t="str"/>
      <x:c r="H25" s="34" t="str"/>
      <x:c r="I25" s="36" t="str"/>
      <x:c r="J25" s="34" t="str"/>
      <x:c r="K25" s="34" t="str"/>
    </x:row>
    <x:row r="26">
      <x:c r="A26" s="10" t="str"/>
      <x:c r="B26" s="10" t="str"/>
      <x:c r="C26" s="10" t="str"/>
      <x:c r="D26" s="10" t="str"/>
      <x:c r="E26" s="10" t="str"/>
      <x:c r="F26" s="10" t="str"/>
      <x:c r="G26" s="10" t="str"/>
      <x:c r="H26" s="10" t="str"/>
      <x:c r="I26" s="35" t="str"/>
      <x:c r="J26" s="10" t="str"/>
      <x:c r="K26" s="10" t="str"/>
    </x:row>
    <x:row r="27">
      <x:c r="A27" s="34" t="str"/>
      <x:c r="B27" s="34" t="str"/>
      <x:c r="C27" s="34" t="str"/>
      <x:c r="D27" s="34" t="str"/>
      <x:c r="E27" s="34" t="str"/>
      <x:c r="F27" s="34" t="str"/>
      <x:c r="G27" s="34" t="str"/>
      <x:c r="H27" s="34" t="str"/>
      <x:c r="I27" s="36" t="str"/>
      <x:c r="J27" s="34" t="str"/>
      <x:c r="K27" s="34" t="str"/>
    </x:row>
    <x:row r="28">
      <x:c r="A28" s="10" t="str"/>
      <x:c r="B28" s="10" t="str"/>
      <x:c r="C28" s="10" t="str"/>
      <x:c r="D28" s="10" t="str"/>
      <x:c r="E28" s="10" t="str"/>
      <x:c r="F28" s="10" t="str"/>
      <x:c r="G28" s="10" t="str"/>
      <x:c r="H28" s="10" t="str"/>
      <x:c r="I28" s="35" t="str"/>
      <x:c r="J28" s="10" t="str"/>
      <x:c r="K28" s="10" t="str"/>
    </x:row>
    <x:row r="29">
      <x:c r="A29" s="34" t="str"/>
      <x:c r="B29" s="34" t="str"/>
      <x:c r="C29" s="34" t="str"/>
      <x:c r="D29" s="34" t="str"/>
      <x:c r="E29" s="34" t="str"/>
      <x:c r="F29" s="34" t="str"/>
      <x:c r="G29" s="34" t="str"/>
      <x:c r="H29" s="34" t="str"/>
      <x:c r="I29" s="36" t="str"/>
      <x:c r="J29" s="34" t="str"/>
      <x:c r="K29" s="34" t="str"/>
    </x:row>
    <x:row r="30">
      <x:c r="A30" s="10" t="str"/>
      <x:c r="B30" s="10" t="str"/>
      <x:c r="C30" s="10" t="str"/>
      <x:c r="D30" s="10" t="str"/>
      <x:c r="E30" s="10" t="str"/>
      <x:c r="F30" s="10" t="str"/>
      <x:c r="G30" s="10" t="str"/>
      <x:c r="H30" s="10" t="str"/>
      <x:c r="I30" s="35" t="str"/>
      <x:c r="J30" s="10" t="str"/>
      <x:c r="K30" s="10" t="str"/>
    </x:row>
    <x:row r="31">
      <x:c r="A31" s="34" t="str"/>
      <x:c r="B31" s="34" t="str"/>
      <x:c r="C31" s="34" t="str"/>
      <x:c r="D31" s="34" t="str"/>
      <x:c r="E31" s="34" t="str"/>
      <x:c r="F31" s="34" t="str"/>
      <x:c r="G31" s="34" t="str"/>
      <x:c r="H31" s="34" t="str"/>
      <x:c r="I31" s="36" t="str"/>
      <x:c r="J31" s="34" t="str"/>
      <x:c r="K31" s="34" t="str"/>
    </x:row>
    <x:row r="32">
      <x:c r="A32" s="10" t="str"/>
      <x:c r="B32" s="10" t="str"/>
      <x:c r="C32" s="10" t="str"/>
      <x:c r="D32" s="10" t="str"/>
      <x:c r="E32" s="10" t="str"/>
      <x:c r="F32" s="10" t="str"/>
      <x:c r="G32" s="10" t="str"/>
      <x:c r="H32" s="10" t="str"/>
      <x:c r="I32" s="35" t="str"/>
      <x:c r="J32" s="10" t="str"/>
      <x:c r="K32" s="10" t="str"/>
    </x:row>
    <x:row r="33">
      <x:c r="A33" s="34" t="str"/>
      <x:c r="B33" s="34" t="str"/>
      <x:c r="C33" s="34" t="str"/>
      <x:c r="D33" s="34" t="str"/>
      <x:c r="E33" s="34" t="str"/>
      <x:c r="F33" s="34" t="str"/>
      <x:c r="G33" s="34" t="str"/>
      <x:c r="H33" s="34" t="str"/>
      <x:c r="I33" s="36" t="str"/>
      <x:c r="J33" s="34" t="str"/>
      <x:c r="K33" s="34" t="str"/>
    </x:row>
    <x:row r="34">
      <x:c r="A34" s="10" t="str"/>
      <x:c r="B34" s="10" t="str"/>
      <x:c r="C34" s="10" t="str"/>
      <x:c r="D34" s="10" t="str"/>
      <x:c r="E34" s="10" t="str"/>
      <x:c r="F34" s="10" t="str"/>
      <x:c r="G34" s="10" t="str"/>
      <x:c r="H34" s="10" t="str"/>
      <x:c r="I34" s="35" t="str"/>
      <x:c r="J34" s="10" t="str"/>
      <x:c r="K34" s="10" t="str"/>
    </x:row>
    <x:row r="35">
      <x:c r="A35" s="41" t="str"/>
      <x:c r="B35" s="41" t="str"/>
      <x:c r="C35" s="41" t="str"/>
      <x:c r="D35" s="41" t="str"/>
      <x:c r="E35" s="41" t="str"/>
      <x:c r="F35" s="41" t="str"/>
      <x:c r="G35" s="41" t="str"/>
      <x:c r="H35" s="41" t="str"/>
      <x:c r="I35" s="42" t="str"/>
      <x:c r="J35" s="41" t="str"/>
      <x:c r="K35" s="41" t="str"/>
    </x:row>
  </x:sheetData>
  <x:mergeCells>
    <x:mergeCell ref="A1:K1"/>
    <x:mergeCell ref="A2:K2"/>
  </x:mergeCells>
  <x:dataValidations count="2">
    <x:dataValidation type="list" sqref="C6:C35">
      <x:formula1>"commit,test_report,command_output,file,photo,measurement,signoff,issue,release,checksum"</x:formula1>
    </x:dataValidation>
    <x:dataValidation type="list" sqref="F6:F35">
      <x:formula1>"pass,fail,informational"</x:formula1>
    </x:dataValidation>
  </x:dataValidations>
  <x:pageMargins left="0.7" right="0.7" top="0.75" bottom="0.75" header="0.3" footer="0.3"/>
  <x:tableParts count="1">
    <x:tablePart xmlns:r="http://schemas.openxmlformats.org/officeDocument/2006/relationships" r:id="R0508d4ccd8ff4fe1"/>
  </x:tableParts>
</x:worksheet>
</file>

<file path=xl/worksheets/sheet13.xml><?xml version="1.0" encoding="utf-8"?>
<x:worksheet xmlns:x="http://schemas.openxmlformats.org/spreadsheetml/2006/main">
  <x:sheetPr>
    <x:tabColor rgb="FF7030A0"/>
  </x:sheetPr>
  <x:sheetViews>
    <x:sheetView showGridLines="0" workbookViewId="0">
      <x:pane xSplit="1" ySplit="5" topLeftCell="B6" activePane="bottomRight" state="frozen"/>
    </x:sheetView>
  </x:sheetViews>
  <x:sheetFormatPr defaultRowHeight="15"/>
  <x:cols>
    <x:col min="1" max="1" width="40" hidden="0" customWidth="1"/>
    <x:col min="2" max="2" width="18" hidden="0" customWidth="1"/>
    <x:col min="3" max="3" width="12" hidden="0" customWidth="1"/>
    <x:col min="4" max="4" width="78" hidden="0" customWidth="1"/>
    <x:col min="5" max="5" width="42" hidden="0" customWidth="1"/>
  </x:cols>
  <x:sheetData>
    <x:row r="1" ht="28" customHeight="1">
      <x:c r="A1" s="1" t="str">
        <x:v>Progress-state contract</x:v>
      </x:c>
    </x:row>
    <x:row r="2">
      <x:c r="A2" s="2" t="str">
        <x:v>PROJECT_STATE.json is generated from the task catalog and append-only events; agents do not hand-edit it after bootstrap.</x:v>
      </x:c>
    </x:row>
    <x:row r="3">
      <x:c r="A3" s="3"/>
      <x:c r="B3" s="3"/>
      <x:c r="C3" s="3"/>
      <x:c r="D3" s="3"/>
      <x:c r="E3" s="3"/>
    </x:row>
    <x:row r="5" ht="32" customHeight="1">
      <x:c r="A5" s="31" t="str">
        <x:v>Field Path</x:v>
      </x:c>
      <x:c r="B5" s="31" t="str">
        <x:v>Type</x:v>
      </x:c>
      <x:c r="C5" s="31" t="str">
        <x:v>Required</x:v>
      </x:c>
      <x:c r="D5" s="31" t="str">
        <x:v>Rule</x:v>
      </x:c>
      <x:c r="E5" s="31" t="str">
        <x:v>Example</x:v>
      </x:c>
    </x:row>
    <x:row r="6">
      <x:c r="A6" s="10" t="str">
        <x:v>$schema</x:v>
      </x:c>
      <x:c r="B6" s="10" t="str">
        <x:v>string</x:v>
      </x:c>
      <x:c r="C6" s="10" t="str">
        <x:v>yes</x:v>
      </x:c>
      <x:c r="D6" s="10" t="str">
        <x:v>Relative path to schemas/progress/progress-state.schema.json</x:v>
      </x:c>
      <x:c r="E6" s="10" t="str">
        <x:v>schemas/progress/progress-state.schema.json</x:v>
      </x:c>
    </x:row>
    <x:row r="7">
      <x:c r="A7" s="34" t="str">
        <x:v>schemaVersion</x:v>
      </x:c>
      <x:c r="B7" s="34" t="str">
        <x:v>integer</x:v>
      </x:c>
      <x:c r="C7" s="34" t="str">
        <x:v>yes</x:v>
      </x:c>
      <x:c r="D7" s="34" t="str">
        <x:v>Progress-state schema version</x:v>
      </x:c>
      <x:c r="E7" s="34" t="str">
        <x:v>1</x:v>
      </x:c>
    </x:row>
    <x:row r="8">
      <x:c r="A8" s="10" t="str">
        <x:v>project</x:v>
      </x:c>
      <x:c r="B8" s="10" t="str">
        <x:v>string</x:v>
      </x:c>
      <x:c r="C8" s="10" t="str">
        <x:v>yes</x:v>
      </x:c>
      <x:c r="D8" s="10" t="str">
        <x:v>Stable project name</x:v>
      </x:c>
      <x:c r="E8" s="10" t="str">
        <x:v>DESS-ELTS-Research-Software</x:v>
      </x:c>
    </x:row>
    <x:row r="9">
      <x:c r="A9" s="34" t="str">
        <x:v>planVersion</x:v>
      </x:c>
      <x:c r="B9" s="34" t="str">
        <x:v>string</x:v>
      </x:c>
      <x:c r="C9" s="34" t="str">
        <x:v>yes</x:v>
      </x:c>
      <x:c r="D9" s="34" t="str">
        <x:v>Workbook/build-plan baseline</x:v>
      </x:c>
      <x:c r="E9" s="34" t="str">
        <x:v>ELTS-build-plan-1.0</x:v>
      </x:c>
    </x:row>
    <x:row r="10">
      <x:c r="A10" s="10" t="str">
        <x:v>generatedAtUtc</x:v>
      </x:c>
      <x:c r="B10" s="10" t="str">
        <x:v>date-time</x:v>
      </x:c>
      <x:c r="C10" s="10" t="str">
        <x:v>yes</x:v>
      </x:c>
      <x:c r="D10" s="10" t="str">
        <x:v>UTC time produced by reducer</x:v>
      </x:c>
      <x:c r="E10" s="10" t="str">
        <x:v>&lt;YYYY-MM-DDTHH:MM:SSZ&gt;</x:v>
      </x:c>
    </x:row>
    <x:row r="11">
      <x:c r="A11" s="34" t="str">
        <x:v>generatedFrom.workbookSha256</x:v>
      </x:c>
      <x:c r="B11" s="34" t="str">
        <x:v>sha256</x:v>
      </x:c>
      <x:c r="C11" s="34" t="str">
        <x:v>yes</x:v>
      </x:c>
      <x:c r="D11" s="34" t="str">
        <x:v>Hash of preserved baseline workbook</x:v>
      </x:c>
      <x:c r="E11" s="34" t="str">
        <x:v>&lt;64 hex&gt;</x:v>
      </x:c>
    </x:row>
    <x:row r="12">
      <x:c r="A12" s="10" t="str">
        <x:v>generatedFrom.specificationSha256</x:v>
      </x:c>
      <x:c r="B12" s="10" t="str">
        <x:v>sha256</x:v>
      </x:c>
      <x:c r="C12" s="10" t="str">
        <x:v>yes</x:v>
      </x:c>
      <x:c r="D12" s="10" t="str">
        <x:v>Hash of preserved specification</x:v>
      </x:c>
      <x:c r="E12" s="10" t="str">
        <x:v>&lt;64 hex&gt;</x:v>
      </x:c>
    </x:row>
    <x:row r="13">
      <x:c r="A13" s="34" t="str">
        <x:v>generatedFrom.taskCatalogSha256</x:v>
      </x:c>
      <x:c r="B13" s="34" t="str">
        <x:v>sha256</x:v>
      </x:c>
      <x:c r="C13" s="34" t="str">
        <x:v>yes</x:v>
      </x:c>
      <x:c r="D13" s="34" t="str">
        <x:v>Hash of normalized catalog</x:v>
      </x:c>
      <x:c r="E13" s="34" t="str">
        <x:v>&lt;64 hex&gt;</x:v>
      </x:c>
    </x:row>
    <x:row r="14">
      <x:c r="A14" s="10" t="str">
        <x:v>generatedFrom.eventCount</x:v>
      </x:c>
      <x:c r="B14" s="10" t="str">
        <x:v>integer</x:v>
      </x:c>
      <x:c r="C14" s="10" t="str">
        <x:v>yes</x:v>
      </x:c>
      <x:c r="D14" s="10" t="str">
        <x:v>Number of accepted progress events</x:v>
      </x:c>
      <x:c r="E14" s="10" t="str">
        <x:v>1</x:v>
      </x:c>
    </x:row>
    <x:row r="15">
      <x:c r="A15" s="34" t="str">
        <x:v>current.mode</x:v>
      </x:c>
      <x:c r="B15" s="34" t="str">
        <x:v>enum</x:v>
      </x:c>
      <x:c r="C15" s="34" t="str">
        <x:v>yes</x:v>
      </x:c>
      <x:c r="D15" s="34" t="str">
        <x:v>working, blocked, verification, complete</x:v>
      </x:c>
      <x:c r="E15" s="34" t="str">
        <x:v>working</x:v>
      </x:c>
    </x:row>
    <x:row r="16">
      <x:c r="A16" s="10" t="str">
        <x:v>current.phaseId</x:v>
      </x:c>
      <x:c r="B16" s="10" t="str">
        <x:v>ID</x:v>
      </x:c>
      <x:c r="C16" s="10" t="str">
        <x:v>yes</x:v>
      </x:c>
      <x:c r="D16" s="10" t="str">
        <x:v>Earliest phase whose gate has not passed</x:v>
      </x:c>
      <x:c r="E16" s="10" t="str">
        <x:v>P0</x:v>
      </x:c>
    </x:row>
    <x:row r="17">
      <x:c r="A17" s="34" t="str">
        <x:v>current.gateId</x:v>
      </x:c>
      <x:c r="B17" s="34" t="str">
        <x:v>ID</x:v>
      </x:c>
      <x:c r="C17" s="34" t="str">
        <x:v>yes</x:v>
      </x:c>
      <x:c r="D17" s="34" t="str">
        <x:v>Gate associated with current phase</x:v>
      </x:c>
      <x:c r="E17" s="34" t="str">
        <x:v>G0</x:v>
      </x:c>
    </x:row>
    <x:row r="18">
      <x:c r="A18" s="10" t="str">
        <x:v>current.primaryStepId</x:v>
      </x:c>
      <x:c r="B18" s="10" t="str">
        <x:v>ID</x:v>
      </x:c>
      <x:c r="C18" s="10" t="str">
        <x:v>yes</x:v>
      </x:c>
      <x:c r="D18" s="10" t="str">
        <x:v>Deterministic exact current atomic step</x:v>
      </x:c>
      <x:c r="E18" s="10" t="str">
        <x:v>P0.3.S001</x:v>
      </x:c>
    </x:row>
    <x:row r="19">
      <x:c r="A19" s="34" t="str">
        <x:v>current.activeStepIds</x:v>
      </x:c>
      <x:c r="B19" s="34" t="str">
        <x:v>ID array</x:v>
      </x:c>
      <x:c r="C19" s="34" t="str">
        <x:v>yes</x:v>
      </x:c>
      <x:c r="D19" s="34" t="str">
        <x:v>All in-progress atomic steps in current phase</x:v>
      </x:c>
      <x:c r="E19" s="34" t="str">
        <x:v>[P0.3.S001]</x:v>
      </x:c>
    </x:row>
    <x:row r="20">
      <x:c r="A20" s="10" t="str">
        <x:v>current.nextEligibleStepIds</x:v>
      </x:c>
      <x:c r="B20" s="10" t="str">
        <x:v>ID array</x:v>
      </x:c>
      <x:c r="C20" s="10" t="str">
        <x:v>yes</x:v>
      </x:c>
      <x:c r="D20" s="10" t="str">
        <x:v>Ready steps after dependency evaluation</x:v>
      </x:c>
      <x:c r="E20" s="10" t="str">
        <x:v>[]</x:v>
      </x:c>
    </x:row>
    <x:row r="21">
      <x:c r="A21" s="34" t="str">
        <x:v>current.blockingIds</x:v>
      </x:c>
      <x:c r="B21" s="34" t="str">
        <x:v>ID array</x:v>
      </x:c>
      <x:c r="C21" s="34" t="str">
        <x:v>yes</x:v>
      </x:c>
      <x:c r="D21" s="34" t="str">
        <x:v>Exact task, decision, gate, or external blockers</x:v>
      </x:c>
      <x:c r="E21" s="34" t="str">
        <x:v>[]</x:v>
      </x:c>
    </x:row>
    <x:row r="22">
      <x:c r="A22" s="10" t="str">
        <x:v>activeWork[].owner</x:v>
      </x:c>
      <x:c r="B22" s="10" t="str">
        <x:v>string</x:v>
      </x:c>
      <x:c r="C22" s="10" t="str">
        <x:v>yes</x:v>
      </x:c>
      <x:c r="D22" s="10" t="str">
        <x:v>Human or agent identity class and stable identifier</x:v>
      </x:c>
      <x:c r="E22" s="10" t="str">
        <x:v>agent:codex</x:v>
      </x:c>
    </x:row>
    <x:row r="23">
      <x:c r="A23" s="34" t="str">
        <x:v>activeWork[].branch</x:v>
      </x:c>
      <x:c r="B23" s="34" t="str">
        <x:v>string</x:v>
      </x:c>
      <x:c r="C23" s="34" t="str">
        <x:v>yes</x:v>
      </x:c>
      <x:c r="D23" s="34" t="str">
        <x:v>Single task branch</x:v>
      </x:c>
      <x:c r="E23" s="34" t="str">
        <x:v>bootstrap/repository-governance</x:v>
      </x:c>
    </x:row>
    <x:row r="24">
      <x:c r="A24" s="10" t="str">
        <x:v>tasks.&lt;id&gt;.status</x:v>
      </x:c>
      <x:c r="B24" s="10" t="str">
        <x:v>enum</x:v>
      </x:c>
      <x:c r="C24" s="10" t="str">
        <x:v>yes</x:v>
      </x:c>
      <x:c r="D24" s="10" t="str">
        <x:v>Status derived from events</x:v>
      </x:c>
      <x:c r="E24" s="10" t="str">
        <x:v>in_progress</x:v>
      </x:c>
    </x:row>
    <x:row r="25">
      <x:c r="A25" s="34" t="str">
        <x:v>tasks.&lt;id&gt;.evidence</x:v>
      </x:c>
      <x:c r="B25" s="34" t="str">
        <x:v>array</x:v>
      </x:c>
      <x:c r="C25" s="34" t="str">
        <x:v>yes</x:v>
      </x:c>
      <x:c r="D25" s="34" t="str">
        <x:v>Resolvable evidence objects</x:v>
      </x:c>
      <x:c r="E25" s="34" t="str">
        <x:v>[]</x:v>
      </x:c>
    </x:row>
    <x:row r="26">
      <x:c r="A26" s="10" t="str">
        <x:v>decisions.&lt;id&gt;.status</x:v>
      </x:c>
      <x:c r="B26" s="10" t="str">
        <x:v>enum</x:v>
      </x:c>
      <x:c r="C26" s="10" t="str">
        <x:v>yes</x:v>
      </x:c>
      <x:c r="D26" s="10" t="str">
        <x:v>Open, in review, decided, superseded, informational</x:v>
      </x:c>
      <x:c r="E26" s="10" t="str">
        <x:v>open</x:v>
      </x:c>
    </x:row>
    <x:row r="27">
      <x:c r="A27" s="34" t="str">
        <x:v>gates.&lt;id&gt;.status</x:v>
      </x:c>
      <x:c r="B27" s="34" t="str">
        <x:v>enum</x:v>
      </x:c>
      <x:c r="C27" s="34" t="str">
        <x:v>yes</x:v>
      </x:c>
      <x:c r="D27" s="34" t="str">
        <x:v>Locked, open, verification pending, passed, failed</x:v>
      </x:c>
      <x:c r="E27" s="34" t="str">
        <x:v>open</x:v>
      </x:c>
    </x:row>
    <x:row r="28">
      <x:c r="A28" s="33" t="str">
        <x:v>integrity.reducerVersion</x:v>
      </x:c>
      <x:c r="B28" s="33" t="str">
        <x:v>string</x:v>
      </x:c>
      <x:c r="C28" s="33" t="str">
        <x:v>yes</x:v>
      </x:c>
      <x:c r="D28" s="33" t="str">
        <x:v>Version or commit of deterministic reducer</x:v>
      </x:c>
      <x:c r="E28" s="33" t="str">
        <x:v>1.0.0</x:v>
      </x:c>
    </x:row>
    <x:row r="31">
      <x:c r="A31" s="27" t="str">
        <x:v>Allowed task transitions</x:v>
      </x:c>
    </x:row>
    <x:row r="32" ht="32" customHeight="1">
      <x:c r="A32" s="31" t="str">
        <x:v>From</x:v>
      </x:c>
      <x:c r="B32" s="31" t="str">
        <x:v>To</x:v>
      </x:c>
      <x:c r="C32" s="31" t="str">
        <x:v>Condition</x:v>
      </x:c>
    </x:row>
    <x:row r="33">
      <x:c r="A33" s="10" t="str">
        <x:v>not_started</x:v>
      </x:c>
      <x:c r="B33" s="10" t="str">
        <x:v>ready</x:v>
      </x:c>
      <x:c r="C33" s="10" t="str">
        <x:v>Dependencies and phase gate permit work</x:v>
      </x:c>
    </x:row>
    <x:row r="34">
      <x:c r="A34" s="10" t="str">
        <x:v>ready</x:v>
      </x:c>
      <x:c r="B34" s="10" t="str">
        <x:v>in_progress</x:v>
      </x:c>
      <x:c r="C34" s="10" t="str">
        <x:v>One owner claims the task on one branch</x:v>
      </x:c>
    </x:row>
    <x:row r="35">
      <x:c r="A35" s="10" t="str">
        <x:v>in_progress</x:v>
      </x:c>
      <x:c r="B35" s="10" t="str">
        <x:v>verification_pending</x:v>
      </x:c>
      <x:c r="C35" s="10" t="str">
        <x:v>Implementation is complete and evidence checks are running</x:v>
      </x:c>
    </x:row>
    <x:row r="36">
      <x:c r="A36" s="10" t="str">
        <x:v>verification_pending</x:v>
      </x:c>
      <x:c r="B36" s="10" t="str">
        <x:v>done</x:v>
      </x:c>
      <x:c r="C36" s="10" t="str">
        <x:v>Every acceptance criterion has resolvable evidence</x:v>
      </x:c>
    </x:row>
    <x:row r="37">
      <x:c r="A37" s="10" t="str">
        <x:v>verification_pending</x:v>
      </x:c>
      <x:c r="B37" s="10" t="str">
        <x:v>in_progress</x:v>
      </x:c>
      <x:c r="C37" s="10" t="str">
        <x:v>Verification failed and remediation resumes</x:v>
      </x:c>
    </x:row>
    <x:row r="38">
      <x:c r="A38" s="10" t="str">
        <x:v>ready or in_progress or verification_pending</x:v>
      </x:c>
      <x:c r="B38" s="10" t="str">
        <x:v>blocked</x:v>
      </x:c>
      <x:c r="C38" s="10" t="str">
        <x:v>Exact blocker and next required action are recorded</x:v>
      </x:c>
    </x:row>
    <x:row r="39">
      <x:c r="A39" s="10" t="str">
        <x:v>blocked</x:v>
      </x:c>
      <x:c r="B39" s="10" t="str">
        <x:v>ready or in_progress</x:v>
      </x:c>
      <x:c r="C39" s="10" t="str">
        <x:v>Blocker is resolved by an event</x:v>
      </x:c>
    </x:row>
    <x:row r="40">
      <x:c r="A40" s="33" t="str">
        <x:v>done</x:v>
      </x:c>
      <x:c r="B40" s="33" t="str">
        <x:v>in_progress</x:v>
      </x:c>
      <x:c r="C40" s="33" t="str">
        <x:v>Explicit reopen event with reason and human authorization where required</x:v>
      </x:c>
    </x:row>
    <x:row r="43">
      <x:c r="A43" s="27" t="str">
        <x:v>Deterministic exact-current-step algorithm</x:v>
      </x:c>
    </x:row>
    <x:row r="44" ht="32" customHeight="1">
      <x:c r="A44" s="31" t="str">
        <x:v>Order</x:v>
      </x:c>
      <x:c r="B44" s="31" t="str">
        <x:v>Rule</x:v>
      </x:c>
    </x:row>
    <x:row r="45">
      <x:c r="A45" s="43" t="n">
        <x:v>1</x:v>
      </x:c>
      <x:c r="B45" s="10" t="str">
        <x:v>Choose the earliest phase whose gate has not passed.</x:v>
      </x:c>
    </x:row>
    <x:row r="46">
      <x:c r="A46" s="43" t="n">
        <x:v>2</x:v>
      </x:c>
      <x:c r="B46" s="10" t="str">
        <x:v>Within that phase, collect all valid in_progress atomic steps.</x:v>
      </x:c>
    </x:row>
    <x:row r="47">
      <x:c r="A47" s="43" t="n">
        <x:v>3</x:v>
      </x:c>
      <x:c r="B47" s="10" t="str">
        <x:v>Set primaryStepId to the lowest workbook sequence among active steps.</x:v>
      </x:c>
    </x:row>
    <x:row r="48">
      <x:c r="A48" s="43" t="n">
        <x:v>4</x:v>
      </x:c>
      <x:c r="B48" s="10" t="str">
        <x:v>If none are active, choose the lowest verification_pending step.</x:v>
      </x:c>
    </x:row>
    <x:row r="49">
      <x:c r="A49" s="43" t="n">
        <x:v>5</x:v>
      </x:c>
      <x:c r="B49" s="10" t="str">
        <x:v>If none await verification, choose the lowest ready step.</x:v>
      </x:c>
    </x:row>
    <x:row r="50">
      <x:c r="A50" s="43" t="n">
        <x:v>6</x:v>
      </x:c>
      <x:c r="B50" s="10" t="str">
        <x:v>If all eligible work is blocked, set mode to blocked and list the exact blocker IDs.</x:v>
      </x:c>
    </x:row>
    <x:row r="51">
      <x:c r="A51" s="43" t="n">
        <x:v>7</x:v>
      </x:c>
      <x:c r="B51" s="10" t="str">
        <x:v>After an explicit evidence-backed G8 pass event, set mode to complete.</x:v>
      </x:c>
    </x:row>
    <x:row r="52">
      <x:c r="A52" s="44" t="n">
        <x:v>8</x:v>
      </x:c>
      <x:c r="B52" s="33" t="str">
        <x:v>If two events claim the same previous task event, fail reduction and require reconciliation.</x:v>
      </x:c>
    </x:row>
  </x:sheetData>
  <x:mergeCells>
    <x:mergeCell ref="A1:E1"/>
    <x:mergeCell ref="A2:E2"/>
    <x:mergeCell ref="A31:E31"/>
    <x:mergeCell ref="A43:E43"/>
  </x:mergeCells>
  <x:pageMargins left="0.7" right="0.7" top="0.75" bottom="0.75" header="0.3" footer="0.3"/>
  <x:tableParts count="1">
    <x:tablePart xmlns:r="http://schemas.openxmlformats.org/officeDocument/2006/relationships" r:id="R9054a3ce63e347bf"/>
  </x:tableParts>
</x:worksheet>
</file>

<file path=xl/worksheets/sheet14.xml><?xml version="1.0" encoding="utf-8"?>
<x:worksheet xmlns:x="http://schemas.openxmlformats.org/spreadsheetml/2006/main">
  <x:sheetPr>
    <x:tabColor rgb="FF7030A0"/>
  </x:sheetPr>
  <x:sheetViews>
    <x:sheetView showGridLines="0" workbookViewId="0">
      <x:pane xSplit="2" ySplit="5" topLeftCell="C6" activePane="bottomRight" state="frozen"/>
    </x:sheetView>
  </x:sheetViews>
  <x:sheetFormatPr defaultRowHeight="15"/>
  <x:cols>
    <x:col min="1" max="1" width="20" hidden="0" customWidth="1"/>
    <x:col min="2" max="2" width="20" hidden="0" customWidth="1"/>
    <x:col min="3" max="3" width="20" hidden="0" customWidth="1"/>
    <x:col min="4" max="4" width="13" hidden="0" customWidth="1"/>
    <x:col min="5" max="5" width="18" hidden="0" customWidth="1"/>
    <x:col min="6" max="6" width="34" hidden="0" customWidth="1"/>
    <x:col min="7" max="7" width="20" hidden="0" customWidth="1"/>
    <x:col min="8" max="8" width="20" hidden="0" customWidth="1"/>
    <x:col min="9" max="9" width="18" hidden="0" customWidth="1"/>
    <x:col min="10" max="10" width="45" hidden="0" customWidth="1"/>
    <x:col min="11" max="11" width="45" hidden="0" customWidth="1"/>
    <x:col min="12" max="12" width="34" hidden="0" customWidth="1"/>
    <x:col min="13" max="13" width="34" hidden="0" customWidth="1"/>
    <x:col min="14" max="14" width="18" hidden="0" customWidth="1"/>
    <x:col min="15" max="15" width="34" hidden="0" customWidth="1"/>
  </x:cols>
  <x:sheetData>
    <x:row r="1" ht="28" customHeight="1">
      <x:c r="A1" s="1" t="str">
        <x:v>Agent session handoff log</x:v>
      </x:c>
    </x:row>
    <x:row r="2">
      <x:c r="A2" s="2" t="str">
        <x:v>Template for durable handoffs. The repository event store remains authoritative.</x:v>
      </x:c>
    </x:row>
    <x:row r="3">
      <x:c r="A3" s="3"/>
      <x:c r="B3" s="3"/>
      <x:c r="C3" s="3"/>
      <x:c r="D3" s="3"/>
      <x:c r="E3" s="3"/>
      <x:c r="F3" s="3"/>
      <x:c r="G3" s="3"/>
      <x:c r="H3" s="3"/>
      <x:c r="I3" s="3"/>
      <x:c r="J3" s="3"/>
      <x:c r="K3" s="3"/>
      <x:c r="L3" s="3"/>
      <x:c r="M3" s="3"/>
      <x:c r="N3" s="3"/>
      <x:c r="O3" s="3"/>
    </x:row>
    <x:row r="5" ht="32" customHeight="1">
      <x:c r="A5" s="31" t="str">
        <x:v>Session ID</x:v>
      </x:c>
      <x:c r="B5" s="31" t="str">
        <x:v>Actor</x:v>
      </x:c>
      <x:c r="C5" s="31" t="str">
        <x:v>Model or Tool</x:v>
      </x:c>
      <x:c r="D5" s="31" t="str">
        <x:v>Task ID</x:v>
      </x:c>
      <x:c r="E5" s="31" t="str">
        <x:v>Atomic Step ID</x:v>
      </x:c>
      <x:c r="F5" s="31" t="str">
        <x:v>Branch</x:v>
      </x:c>
      <x:c r="G5" s="31" t="str">
        <x:v>Started UTC</x:v>
      </x:c>
      <x:c r="H5" s="31" t="str">
        <x:v>Ended UTC</x:v>
      </x:c>
      <x:c r="I5" s="31" t="str">
        <x:v>Outcome</x:v>
      </x:c>
      <x:c r="J5" s="31" t="str">
        <x:v>Files Changed</x:v>
      </x:c>
      <x:c r="K5" s="31" t="str">
        <x:v>Checks Run</x:v>
      </x:c>
      <x:c r="L5" s="31" t="str">
        <x:v>Evidence</x:v>
      </x:c>
      <x:c r="M5" s="31" t="str">
        <x:v>Blockers</x:v>
      </x:c>
      <x:c r="N5" s="31" t="str">
        <x:v>Next Step</x:v>
      </x:c>
      <x:c r="O5" s="31" t="str">
        <x:v>Handoff Path</x:v>
      </x:c>
    </x:row>
    <x:row r="6">
      <x:c r="A6" s="10" t="str"/>
      <x:c r="B6" s="10" t="str"/>
      <x:c r="C6" s="10" t="str"/>
      <x:c r="D6" s="10" t="str"/>
      <x:c r="E6" s="10" t="str"/>
      <x:c r="F6" s="10" t="str"/>
      <x:c r="G6" s="35" t="str"/>
      <x:c r="H6" s="35" t="str"/>
      <x:c r="I6" s="10" t="str"/>
      <x:c r="J6" s="10" t="str"/>
      <x:c r="K6" s="10" t="str"/>
      <x:c r="L6" s="10" t="str"/>
      <x:c r="M6" s="10" t="str"/>
      <x:c r="N6" s="10" t="str"/>
      <x:c r="O6" s="10" t="str"/>
    </x:row>
    <x:row r="7">
      <x:c r="A7" s="34" t="str"/>
      <x:c r="B7" s="34" t="str"/>
      <x:c r="C7" s="34" t="str"/>
      <x:c r="D7" s="34" t="str"/>
      <x:c r="E7" s="34" t="str"/>
      <x:c r="F7" s="34" t="str"/>
      <x:c r="G7" s="36" t="str"/>
      <x:c r="H7" s="36" t="str"/>
      <x:c r="I7" s="34" t="str"/>
      <x:c r="J7" s="34" t="str"/>
      <x:c r="K7" s="34" t="str"/>
      <x:c r="L7" s="34" t="str"/>
      <x:c r="M7" s="34" t="str"/>
      <x:c r="N7" s="34" t="str"/>
      <x:c r="O7" s="34" t="str"/>
    </x:row>
    <x:row r="8">
      <x:c r="A8" s="10" t="str"/>
      <x:c r="B8" s="10" t="str"/>
      <x:c r="C8" s="10" t="str"/>
      <x:c r="D8" s="10" t="str"/>
      <x:c r="E8" s="10" t="str"/>
      <x:c r="F8" s="10" t="str"/>
      <x:c r="G8" s="35" t="str"/>
      <x:c r="H8" s="35" t="str"/>
      <x:c r="I8" s="10" t="str"/>
      <x:c r="J8" s="10" t="str"/>
      <x:c r="K8" s="10" t="str"/>
      <x:c r="L8" s="10" t="str"/>
      <x:c r="M8" s="10" t="str"/>
      <x:c r="N8" s="10" t="str"/>
      <x:c r="O8" s="10" t="str"/>
    </x:row>
    <x:row r="9">
      <x:c r="A9" s="34" t="str"/>
      <x:c r="B9" s="34" t="str"/>
      <x:c r="C9" s="34" t="str"/>
      <x:c r="D9" s="34" t="str"/>
      <x:c r="E9" s="34" t="str"/>
      <x:c r="F9" s="34" t="str"/>
      <x:c r="G9" s="36" t="str"/>
      <x:c r="H9" s="36" t="str"/>
      <x:c r="I9" s="34" t="str"/>
      <x:c r="J9" s="34" t="str"/>
      <x:c r="K9" s="34" t="str"/>
      <x:c r="L9" s="34" t="str"/>
      <x:c r="M9" s="34" t="str"/>
      <x:c r="N9" s="34" t="str"/>
      <x:c r="O9" s="34" t="str"/>
    </x:row>
    <x:row r="10">
      <x:c r="A10" s="10" t="str"/>
      <x:c r="B10" s="10" t="str"/>
      <x:c r="C10" s="10" t="str"/>
      <x:c r="D10" s="10" t="str"/>
      <x:c r="E10" s="10" t="str"/>
      <x:c r="F10" s="10" t="str"/>
      <x:c r="G10" s="35" t="str"/>
      <x:c r="H10" s="35" t="str"/>
      <x:c r="I10" s="10" t="str"/>
      <x:c r="J10" s="10" t="str"/>
      <x:c r="K10" s="10" t="str"/>
      <x:c r="L10" s="10" t="str"/>
      <x:c r="M10" s="10" t="str"/>
      <x:c r="N10" s="10" t="str"/>
      <x:c r="O10" s="10" t="str"/>
    </x:row>
    <x:row r="11">
      <x:c r="A11" s="34" t="str"/>
      <x:c r="B11" s="34" t="str"/>
      <x:c r="C11" s="34" t="str"/>
      <x:c r="D11" s="34" t="str"/>
      <x:c r="E11" s="34" t="str"/>
      <x:c r="F11" s="34" t="str"/>
      <x:c r="G11" s="36" t="str"/>
      <x:c r="H11" s="36" t="str"/>
      <x:c r="I11" s="34" t="str"/>
      <x:c r="J11" s="34" t="str"/>
      <x:c r="K11" s="34" t="str"/>
      <x:c r="L11" s="34" t="str"/>
      <x:c r="M11" s="34" t="str"/>
      <x:c r="N11" s="34" t="str"/>
      <x:c r="O11" s="34" t="str"/>
    </x:row>
    <x:row r="12">
      <x:c r="A12" s="10" t="str"/>
      <x:c r="B12" s="10" t="str"/>
      <x:c r="C12" s="10" t="str"/>
      <x:c r="D12" s="10" t="str"/>
      <x:c r="E12" s="10" t="str"/>
      <x:c r="F12" s="10" t="str"/>
      <x:c r="G12" s="35" t="str"/>
      <x:c r="H12" s="35" t="str"/>
      <x:c r="I12" s="10" t="str"/>
      <x:c r="J12" s="10" t="str"/>
      <x:c r="K12" s="10" t="str"/>
      <x:c r="L12" s="10" t="str"/>
      <x:c r="M12" s="10" t="str"/>
      <x:c r="N12" s="10" t="str"/>
      <x:c r="O12" s="10" t="str"/>
    </x:row>
    <x:row r="13">
      <x:c r="A13" s="34" t="str"/>
      <x:c r="B13" s="34" t="str"/>
      <x:c r="C13" s="34" t="str"/>
      <x:c r="D13" s="34" t="str"/>
      <x:c r="E13" s="34" t="str"/>
      <x:c r="F13" s="34" t="str"/>
      <x:c r="G13" s="36" t="str"/>
      <x:c r="H13" s="36" t="str"/>
      <x:c r="I13" s="34" t="str"/>
      <x:c r="J13" s="34" t="str"/>
      <x:c r="K13" s="34" t="str"/>
      <x:c r="L13" s="34" t="str"/>
      <x:c r="M13" s="34" t="str"/>
      <x:c r="N13" s="34" t="str"/>
      <x:c r="O13" s="34" t="str"/>
    </x:row>
    <x:row r="14">
      <x:c r="A14" s="10" t="str"/>
      <x:c r="B14" s="10" t="str"/>
      <x:c r="C14" s="10" t="str"/>
      <x:c r="D14" s="10" t="str"/>
      <x:c r="E14" s="10" t="str"/>
      <x:c r="F14" s="10" t="str"/>
      <x:c r="G14" s="35" t="str"/>
      <x:c r="H14" s="35" t="str"/>
      <x:c r="I14" s="10" t="str"/>
      <x:c r="J14" s="10" t="str"/>
      <x:c r="K14" s="10" t="str"/>
      <x:c r="L14" s="10" t="str"/>
      <x:c r="M14" s="10" t="str"/>
      <x:c r="N14" s="10" t="str"/>
      <x:c r="O14" s="10" t="str"/>
    </x:row>
    <x:row r="15">
      <x:c r="A15" s="34" t="str"/>
      <x:c r="B15" s="34" t="str"/>
      <x:c r="C15" s="34" t="str"/>
      <x:c r="D15" s="34" t="str"/>
      <x:c r="E15" s="34" t="str"/>
      <x:c r="F15" s="34" t="str"/>
      <x:c r="G15" s="36" t="str"/>
      <x:c r="H15" s="36" t="str"/>
      <x:c r="I15" s="34" t="str"/>
      <x:c r="J15" s="34" t="str"/>
      <x:c r="K15" s="34" t="str"/>
      <x:c r="L15" s="34" t="str"/>
      <x:c r="M15" s="34" t="str"/>
      <x:c r="N15" s="34" t="str"/>
      <x:c r="O15" s="34" t="str"/>
    </x:row>
    <x:row r="16">
      <x:c r="A16" s="10" t="str"/>
      <x:c r="B16" s="10" t="str"/>
      <x:c r="C16" s="10" t="str"/>
      <x:c r="D16" s="10" t="str"/>
      <x:c r="E16" s="10" t="str"/>
      <x:c r="F16" s="10" t="str"/>
      <x:c r="G16" s="35" t="str"/>
      <x:c r="H16" s="35" t="str"/>
      <x:c r="I16" s="10" t="str"/>
      <x:c r="J16" s="10" t="str"/>
      <x:c r="K16" s="10" t="str"/>
      <x:c r="L16" s="10" t="str"/>
      <x:c r="M16" s="10" t="str"/>
      <x:c r="N16" s="10" t="str"/>
      <x:c r="O16" s="10" t="str"/>
    </x:row>
    <x:row r="17">
      <x:c r="A17" s="34" t="str"/>
      <x:c r="B17" s="34" t="str"/>
      <x:c r="C17" s="34" t="str"/>
      <x:c r="D17" s="34" t="str"/>
      <x:c r="E17" s="34" t="str"/>
      <x:c r="F17" s="34" t="str"/>
      <x:c r="G17" s="36" t="str"/>
      <x:c r="H17" s="36" t="str"/>
      <x:c r="I17" s="34" t="str"/>
      <x:c r="J17" s="34" t="str"/>
      <x:c r="K17" s="34" t="str"/>
      <x:c r="L17" s="34" t="str"/>
      <x:c r="M17" s="34" t="str"/>
      <x:c r="N17" s="34" t="str"/>
      <x:c r="O17" s="34" t="str"/>
    </x:row>
    <x:row r="18">
      <x:c r="A18" s="10" t="str"/>
      <x:c r="B18" s="10" t="str"/>
      <x:c r="C18" s="10" t="str"/>
      <x:c r="D18" s="10" t="str"/>
      <x:c r="E18" s="10" t="str"/>
      <x:c r="F18" s="10" t="str"/>
      <x:c r="G18" s="35" t="str"/>
      <x:c r="H18" s="35" t="str"/>
      <x:c r="I18" s="10" t="str"/>
      <x:c r="J18" s="10" t="str"/>
      <x:c r="K18" s="10" t="str"/>
      <x:c r="L18" s="10" t="str"/>
      <x:c r="M18" s="10" t="str"/>
      <x:c r="N18" s="10" t="str"/>
      <x:c r="O18" s="10" t="str"/>
    </x:row>
    <x:row r="19">
      <x:c r="A19" s="34" t="str"/>
      <x:c r="B19" s="34" t="str"/>
      <x:c r="C19" s="34" t="str"/>
      <x:c r="D19" s="34" t="str"/>
      <x:c r="E19" s="34" t="str"/>
      <x:c r="F19" s="34" t="str"/>
      <x:c r="G19" s="36" t="str"/>
      <x:c r="H19" s="36" t="str"/>
      <x:c r="I19" s="34" t="str"/>
      <x:c r="J19" s="34" t="str"/>
      <x:c r="K19" s="34" t="str"/>
      <x:c r="L19" s="34" t="str"/>
      <x:c r="M19" s="34" t="str"/>
      <x:c r="N19" s="34" t="str"/>
      <x:c r="O19" s="34" t="str"/>
    </x:row>
    <x:row r="20">
      <x:c r="A20" s="10" t="str"/>
      <x:c r="B20" s="10" t="str"/>
      <x:c r="C20" s="10" t="str"/>
      <x:c r="D20" s="10" t="str"/>
      <x:c r="E20" s="10" t="str"/>
      <x:c r="F20" s="10" t="str"/>
      <x:c r="G20" s="35" t="str"/>
      <x:c r="H20" s="35" t="str"/>
      <x:c r="I20" s="10" t="str"/>
      <x:c r="J20" s="10" t="str"/>
      <x:c r="K20" s="10" t="str"/>
      <x:c r="L20" s="10" t="str"/>
      <x:c r="M20" s="10" t="str"/>
      <x:c r="N20" s="10" t="str"/>
      <x:c r="O20" s="10" t="str"/>
    </x:row>
    <x:row r="21">
      <x:c r="A21" s="34" t="str"/>
      <x:c r="B21" s="34" t="str"/>
      <x:c r="C21" s="34" t="str"/>
      <x:c r="D21" s="34" t="str"/>
      <x:c r="E21" s="34" t="str"/>
      <x:c r="F21" s="34" t="str"/>
      <x:c r="G21" s="36" t="str"/>
      <x:c r="H21" s="36" t="str"/>
      <x:c r="I21" s="34" t="str"/>
      <x:c r="J21" s="34" t="str"/>
      <x:c r="K21" s="34" t="str"/>
      <x:c r="L21" s="34" t="str"/>
      <x:c r="M21" s="34" t="str"/>
      <x:c r="N21" s="34" t="str"/>
      <x:c r="O21" s="34" t="str"/>
    </x:row>
    <x:row r="22">
      <x:c r="A22" s="10" t="str"/>
      <x:c r="B22" s="10" t="str"/>
      <x:c r="C22" s="10" t="str"/>
      <x:c r="D22" s="10" t="str"/>
      <x:c r="E22" s="10" t="str"/>
      <x:c r="F22" s="10" t="str"/>
      <x:c r="G22" s="35" t="str"/>
      <x:c r="H22" s="35" t="str"/>
      <x:c r="I22" s="10" t="str"/>
      <x:c r="J22" s="10" t="str"/>
      <x:c r="K22" s="10" t="str"/>
      <x:c r="L22" s="10" t="str"/>
      <x:c r="M22" s="10" t="str"/>
      <x:c r="N22" s="10" t="str"/>
      <x:c r="O22" s="10" t="str"/>
    </x:row>
    <x:row r="23">
      <x:c r="A23" s="34" t="str"/>
      <x:c r="B23" s="34" t="str"/>
      <x:c r="C23" s="34" t="str"/>
      <x:c r="D23" s="34" t="str"/>
      <x:c r="E23" s="34" t="str"/>
      <x:c r="F23" s="34" t="str"/>
      <x:c r="G23" s="36" t="str"/>
      <x:c r="H23" s="36" t="str"/>
      <x:c r="I23" s="34" t="str"/>
      <x:c r="J23" s="34" t="str"/>
      <x:c r="K23" s="34" t="str"/>
      <x:c r="L23" s="34" t="str"/>
      <x:c r="M23" s="34" t="str"/>
      <x:c r="N23" s="34" t="str"/>
      <x:c r="O23" s="34" t="str"/>
    </x:row>
    <x:row r="24">
      <x:c r="A24" s="10" t="str"/>
      <x:c r="B24" s="10" t="str"/>
      <x:c r="C24" s="10" t="str"/>
      <x:c r="D24" s="10" t="str"/>
      <x:c r="E24" s="10" t="str"/>
      <x:c r="F24" s="10" t="str"/>
      <x:c r="G24" s="35" t="str"/>
      <x:c r="H24" s="35" t="str"/>
      <x:c r="I24" s="10" t="str"/>
      <x:c r="J24" s="10" t="str"/>
      <x:c r="K24" s="10" t="str"/>
      <x:c r="L24" s="10" t="str"/>
      <x:c r="M24" s="10" t="str"/>
      <x:c r="N24" s="10" t="str"/>
      <x:c r="O24" s="10" t="str"/>
    </x:row>
    <x:row r="25">
      <x:c r="A25" s="41" t="str"/>
      <x:c r="B25" s="41" t="str"/>
      <x:c r="C25" s="41" t="str"/>
      <x:c r="D25" s="41" t="str"/>
      <x:c r="E25" s="41" t="str"/>
      <x:c r="F25" s="41" t="str"/>
      <x:c r="G25" s="42" t="str"/>
      <x:c r="H25" s="42" t="str"/>
      <x:c r="I25" s="41" t="str"/>
      <x:c r="J25" s="41" t="str"/>
      <x:c r="K25" s="41" t="str"/>
      <x:c r="L25" s="41" t="str"/>
      <x:c r="M25" s="41" t="str"/>
      <x:c r="N25" s="41" t="str"/>
      <x:c r="O25" s="41" t="str"/>
    </x:row>
  </x:sheetData>
  <x:mergeCells>
    <x:mergeCell ref="A1:O1"/>
    <x:mergeCell ref="A2:O2"/>
  </x:mergeCells>
  <x:pageMargins left="0.7" right="0.7" top="0.75" bottom="0.75" header="0.3" footer="0.3"/>
  <x:tableParts count="1">
    <x:tablePart xmlns:r="http://schemas.openxmlformats.org/officeDocument/2006/relationships" r:id="Re13cd8a1c48e4cc7"/>
  </x:tableParts>
</x:worksheet>
</file>

<file path=xl/worksheets/sheet15.xml><?xml version="1.0" encoding="utf-8"?>
<x:worksheet xmlns:x="http://schemas.openxmlformats.org/spreadsheetml/2006/main">
  <x:sheetPr>
    <x:tabColor rgb="FF7030A0"/>
  </x:sheetPr>
  <x:sheetViews>
    <x:sheetView showGridLines="0" workbookViewId="0">
      <x:pane xSplit="2" ySplit="5" topLeftCell="C6" activePane="bottomRight" state="frozen"/>
    </x:sheetView>
  </x:sheetViews>
  <x:sheetFormatPr defaultRowHeight="15"/>
  <x:cols>
    <x:col min="1" max="1" width="16" hidden="0" customWidth="1"/>
    <x:col min="2" max="2" width="14" hidden="0" customWidth="1"/>
    <x:col min="3" max="3" width="20" hidden="0" customWidth="1"/>
    <x:col min="4" max="4" width="22" hidden="0" customWidth="1"/>
    <x:col min="5" max="5" width="28" hidden="0" customWidth="1"/>
    <x:col min="6" max="6" width="48" hidden="0" customWidth="1"/>
    <x:col min="7" max="7" width="52" hidden="0" customWidth="1"/>
    <x:col min="8" max="8" width="52" hidden="0" customWidth="1"/>
    <x:col min="9" max="9" width="30" hidden="0" customWidth="1"/>
    <x:col min="10" max="10" width="18" hidden="0" customWidth="1"/>
    <x:col min="11" max="11" width="24" hidden="0" customWidth="1"/>
    <x:col min="12" max="12" width="20" hidden="0" customWidth="1"/>
    <x:col min="13" max="13" width="42" hidden="0" customWidth="1"/>
    <x:col min="14" max="14" width="34" hidden="0" customWidth="1"/>
  </x:cols>
  <x:sheetData>
    <x:row r="1" ht="28" customHeight="1">
      <x:c r="A1" s="1" t="str">
        <x:v>Plan changes</x:v>
      </x:c>
    </x:row>
    <x:row r="2">
      <x:c r="A2" s="2" t="str">
        <x:v>Append-only revision log. Never renumber an existing P, D, G, requirement, or atomic-step ID.</x:v>
      </x:c>
    </x:row>
    <x:row r="3">
      <x:c r="A3" s="3"/>
      <x:c r="B3" s="3"/>
      <x:c r="C3" s="3"/>
      <x:c r="D3" s="3"/>
      <x:c r="E3" s="3"/>
      <x:c r="F3" s="3"/>
      <x:c r="G3" s="3"/>
      <x:c r="H3" s="3"/>
      <x:c r="I3" s="3"/>
      <x:c r="J3" s="3"/>
      <x:c r="K3" s="3"/>
      <x:c r="L3" s="3"/>
      <x:c r="M3" s="3"/>
      <x:c r="N3" s="3"/>
    </x:row>
    <x:row r="5" ht="32" customHeight="1">
      <x:c r="A5" s="31" t="str">
        <x:v>Change ID</x:v>
      </x:c>
      <x:c r="B5" s="31" t="str">
        <x:v>Plan Revision</x:v>
      </x:c>
      <x:c r="C5" s="31" t="str">
        <x:v>Requested UTC</x:v>
      </x:c>
      <x:c r="D5" s="31" t="str">
        <x:v>Requested By</x:v>
      </x:c>
      <x:c r="E5" s="31" t="str">
        <x:v>Affected IDs</x:v>
      </x:c>
      <x:c r="F5" s="31" t="str">
        <x:v>Reason</x:v>
      </x:c>
      <x:c r="G5" s="31" t="str">
        <x:v>Proposed Change</x:v>
      </x:c>
      <x:c r="H5" s="31" t="str">
        <x:v>Architecture or Protocol Impact</x:v>
      </x:c>
      <x:c r="I5" s="31" t="str">
        <x:v>Approval Required From</x:v>
      </x:c>
      <x:c r="J5" s="31" t="str">
        <x:v>Decision</x:v>
      </x:c>
      <x:c r="K5" s="31" t="str">
        <x:v>Approved By</x:v>
      </x:c>
      <x:c r="L5" s="31" t="str">
        <x:v>Approved UTC</x:v>
      </x:c>
      <x:c r="M5" s="31" t="str">
        <x:v>Applied Commit</x:v>
      </x:c>
      <x:c r="N5" s="31" t="str">
        <x:v>Notes</x:v>
      </x:c>
    </x:row>
    <x:row r="6">
      <x:c r="A6" s="10" t="str"/>
      <x:c r="B6" s="10" t="str"/>
      <x:c r="C6" s="35" t="str"/>
      <x:c r="D6" s="10" t="str"/>
      <x:c r="E6" s="10" t="str"/>
      <x:c r="F6" s="10" t="str"/>
      <x:c r="G6" s="10" t="str"/>
      <x:c r="H6" s="10" t="str"/>
      <x:c r="I6" s="10" t="str"/>
      <x:c r="J6" s="10" t="str"/>
      <x:c r="K6" s="10" t="str"/>
      <x:c r="L6" s="35" t="str"/>
      <x:c r="M6" s="10" t="str"/>
      <x:c r="N6" s="10" t="str"/>
    </x:row>
    <x:row r="7">
      <x:c r="A7" s="34" t="str"/>
      <x:c r="B7" s="34" t="str"/>
      <x:c r="C7" s="36" t="str"/>
      <x:c r="D7" s="34" t="str"/>
      <x:c r="E7" s="34" t="str"/>
      <x:c r="F7" s="34" t="str"/>
      <x:c r="G7" s="34" t="str"/>
      <x:c r="H7" s="34" t="str"/>
      <x:c r="I7" s="34" t="str"/>
      <x:c r="J7" s="34" t="str"/>
      <x:c r="K7" s="34" t="str"/>
      <x:c r="L7" s="36" t="str"/>
      <x:c r="M7" s="34" t="str"/>
      <x:c r="N7" s="34" t="str"/>
    </x:row>
    <x:row r="8">
      <x:c r="A8" s="10" t="str"/>
      <x:c r="B8" s="10" t="str"/>
      <x:c r="C8" s="35" t="str"/>
      <x:c r="D8" s="10" t="str"/>
      <x:c r="E8" s="10" t="str"/>
      <x:c r="F8" s="10" t="str"/>
      <x:c r="G8" s="10" t="str"/>
      <x:c r="H8" s="10" t="str"/>
      <x:c r="I8" s="10" t="str"/>
      <x:c r="J8" s="10" t="str"/>
      <x:c r="K8" s="10" t="str"/>
      <x:c r="L8" s="35" t="str"/>
      <x:c r="M8" s="10" t="str"/>
      <x:c r="N8" s="10" t="str"/>
    </x:row>
    <x:row r="9">
      <x:c r="A9" s="34" t="str"/>
      <x:c r="B9" s="34" t="str"/>
      <x:c r="C9" s="36" t="str"/>
      <x:c r="D9" s="34" t="str"/>
      <x:c r="E9" s="34" t="str"/>
      <x:c r="F9" s="34" t="str"/>
      <x:c r="G9" s="34" t="str"/>
      <x:c r="H9" s="34" t="str"/>
      <x:c r="I9" s="34" t="str"/>
      <x:c r="J9" s="34" t="str"/>
      <x:c r="K9" s="34" t="str"/>
      <x:c r="L9" s="36" t="str"/>
      <x:c r="M9" s="34" t="str"/>
      <x:c r="N9" s="34" t="str"/>
    </x:row>
    <x:row r="10">
      <x:c r="A10" s="10" t="str"/>
      <x:c r="B10" s="10" t="str"/>
      <x:c r="C10" s="35" t="str"/>
      <x:c r="D10" s="10" t="str"/>
      <x:c r="E10" s="10" t="str"/>
      <x:c r="F10" s="10" t="str"/>
      <x:c r="G10" s="10" t="str"/>
      <x:c r="H10" s="10" t="str"/>
      <x:c r="I10" s="10" t="str"/>
      <x:c r="J10" s="10" t="str"/>
      <x:c r="K10" s="10" t="str"/>
      <x:c r="L10" s="35" t="str"/>
      <x:c r="M10" s="10" t="str"/>
      <x:c r="N10" s="10" t="str"/>
    </x:row>
    <x:row r="11">
      <x:c r="A11" s="34" t="str"/>
      <x:c r="B11" s="34" t="str"/>
      <x:c r="C11" s="36" t="str"/>
      <x:c r="D11" s="34" t="str"/>
      <x:c r="E11" s="34" t="str"/>
      <x:c r="F11" s="34" t="str"/>
      <x:c r="G11" s="34" t="str"/>
      <x:c r="H11" s="34" t="str"/>
      <x:c r="I11" s="34" t="str"/>
      <x:c r="J11" s="34" t="str"/>
      <x:c r="K11" s="34" t="str"/>
      <x:c r="L11" s="36" t="str"/>
      <x:c r="M11" s="34" t="str"/>
      <x:c r="N11" s="34" t="str"/>
    </x:row>
    <x:row r="12">
      <x:c r="A12" s="10" t="str"/>
      <x:c r="B12" s="10" t="str"/>
      <x:c r="C12" s="35" t="str"/>
      <x:c r="D12" s="10" t="str"/>
      <x:c r="E12" s="10" t="str"/>
      <x:c r="F12" s="10" t="str"/>
      <x:c r="G12" s="10" t="str"/>
      <x:c r="H12" s="10" t="str"/>
      <x:c r="I12" s="10" t="str"/>
      <x:c r="J12" s="10" t="str"/>
      <x:c r="K12" s="10" t="str"/>
      <x:c r="L12" s="35" t="str"/>
      <x:c r="M12" s="10" t="str"/>
      <x:c r="N12" s="10" t="str"/>
    </x:row>
    <x:row r="13">
      <x:c r="A13" s="34" t="str"/>
      <x:c r="B13" s="34" t="str"/>
      <x:c r="C13" s="36" t="str"/>
      <x:c r="D13" s="34" t="str"/>
      <x:c r="E13" s="34" t="str"/>
      <x:c r="F13" s="34" t="str"/>
      <x:c r="G13" s="34" t="str"/>
      <x:c r="H13" s="34" t="str"/>
      <x:c r="I13" s="34" t="str"/>
      <x:c r="J13" s="34" t="str"/>
      <x:c r="K13" s="34" t="str"/>
      <x:c r="L13" s="36" t="str"/>
      <x:c r="M13" s="34" t="str"/>
      <x:c r="N13" s="34" t="str"/>
    </x:row>
    <x:row r="14">
      <x:c r="A14" s="10" t="str"/>
      <x:c r="B14" s="10" t="str"/>
      <x:c r="C14" s="35" t="str"/>
      <x:c r="D14" s="10" t="str"/>
      <x:c r="E14" s="10" t="str"/>
      <x:c r="F14" s="10" t="str"/>
      <x:c r="G14" s="10" t="str"/>
      <x:c r="H14" s="10" t="str"/>
      <x:c r="I14" s="10" t="str"/>
      <x:c r="J14" s="10" t="str"/>
      <x:c r="K14" s="10" t="str"/>
      <x:c r="L14" s="35" t="str"/>
      <x:c r="M14" s="10" t="str"/>
      <x:c r="N14" s="10" t="str"/>
    </x:row>
    <x:row r="15">
      <x:c r="A15" s="34" t="str"/>
      <x:c r="B15" s="34" t="str"/>
      <x:c r="C15" s="36" t="str"/>
      <x:c r="D15" s="34" t="str"/>
      <x:c r="E15" s="34" t="str"/>
      <x:c r="F15" s="34" t="str"/>
      <x:c r="G15" s="34" t="str"/>
      <x:c r="H15" s="34" t="str"/>
      <x:c r="I15" s="34" t="str"/>
      <x:c r="J15" s="34" t="str"/>
      <x:c r="K15" s="34" t="str"/>
      <x:c r="L15" s="36" t="str"/>
      <x:c r="M15" s="34" t="str"/>
      <x:c r="N15" s="34" t="str"/>
    </x:row>
    <x:row r="16">
      <x:c r="A16" s="10" t="str"/>
      <x:c r="B16" s="10" t="str"/>
      <x:c r="C16" s="35" t="str"/>
      <x:c r="D16" s="10" t="str"/>
      <x:c r="E16" s="10" t="str"/>
      <x:c r="F16" s="10" t="str"/>
      <x:c r="G16" s="10" t="str"/>
      <x:c r="H16" s="10" t="str"/>
      <x:c r="I16" s="10" t="str"/>
      <x:c r="J16" s="10" t="str"/>
      <x:c r="K16" s="10" t="str"/>
      <x:c r="L16" s="35" t="str"/>
      <x:c r="M16" s="10" t="str"/>
      <x:c r="N16" s="10" t="str"/>
    </x:row>
    <x:row r="17">
      <x:c r="A17" s="34" t="str"/>
      <x:c r="B17" s="34" t="str"/>
      <x:c r="C17" s="36" t="str"/>
      <x:c r="D17" s="34" t="str"/>
      <x:c r="E17" s="34" t="str"/>
      <x:c r="F17" s="34" t="str"/>
      <x:c r="G17" s="34" t="str"/>
      <x:c r="H17" s="34" t="str"/>
      <x:c r="I17" s="34" t="str"/>
      <x:c r="J17" s="34" t="str"/>
      <x:c r="K17" s="34" t="str"/>
      <x:c r="L17" s="36" t="str"/>
      <x:c r="M17" s="34" t="str"/>
      <x:c r="N17" s="34" t="str"/>
    </x:row>
    <x:row r="18">
      <x:c r="A18" s="10" t="str"/>
      <x:c r="B18" s="10" t="str"/>
      <x:c r="C18" s="35" t="str"/>
      <x:c r="D18" s="10" t="str"/>
      <x:c r="E18" s="10" t="str"/>
      <x:c r="F18" s="10" t="str"/>
      <x:c r="G18" s="10" t="str"/>
      <x:c r="H18" s="10" t="str"/>
      <x:c r="I18" s="10" t="str"/>
      <x:c r="J18" s="10" t="str"/>
      <x:c r="K18" s="10" t="str"/>
      <x:c r="L18" s="35" t="str"/>
      <x:c r="M18" s="10" t="str"/>
      <x:c r="N18" s="10" t="str"/>
    </x:row>
    <x:row r="19">
      <x:c r="A19" s="34" t="str"/>
      <x:c r="B19" s="34" t="str"/>
      <x:c r="C19" s="36" t="str"/>
      <x:c r="D19" s="34" t="str"/>
      <x:c r="E19" s="34" t="str"/>
      <x:c r="F19" s="34" t="str"/>
      <x:c r="G19" s="34" t="str"/>
      <x:c r="H19" s="34" t="str"/>
      <x:c r="I19" s="34" t="str"/>
      <x:c r="J19" s="34" t="str"/>
      <x:c r="K19" s="34" t="str"/>
      <x:c r="L19" s="36" t="str"/>
      <x:c r="M19" s="34" t="str"/>
      <x:c r="N19" s="34" t="str"/>
    </x:row>
    <x:row r="20">
      <x:c r="A20" s="10" t="str"/>
      <x:c r="B20" s="10" t="str"/>
      <x:c r="C20" s="35" t="str"/>
      <x:c r="D20" s="10" t="str"/>
      <x:c r="E20" s="10" t="str"/>
      <x:c r="F20" s="10" t="str"/>
      <x:c r="G20" s="10" t="str"/>
      <x:c r="H20" s="10" t="str"/>
      <x:c r="I20" s="10" t="str"/>
      <x:c r="J20" s="10" t="str"/>
      <x:c r="K20" s="10" t="str"/>
      <x:c r="L20" s="35" t="str"/>
      <x:c r="M20" s="10" t="str"/>
      <x:c r="N20" s="10" t="str"/>
    </x:row>
    <x:row r="21">
      <x:c r="A21" s="34" t="str"/>
      <x:c r="B21" s="34" t="str"/>
      <x:c r="C21" s="36" t="str"/>
      <x:c r="D21" s="34" t="str"/>
      <x:c r="E21" s="34" t="str"/>
      <x:c r="F21" s="34" t="str"/>
      <x:c r="G21" s="34" t="str"/>
      <x:c r="H21" s="34" t="str"/>
      <x:c r="I21" s="34" t="str"/>
      <x:c r="J21" s="34" t="str"/>
      <x:c r="K21" s="34" t="str"/>
      <x:c r="L21" s="36" t="str"/>
      <x:c r="M21" s="34" t="str"/>
      <x:c r="N21" s="34" t="str"/>
    </x:row>
    <x:row r="22">
      <x:c r="A22" s="10" t="str"/>
      <x:c r="B22" s="10" t="str"/>
      <x:c r="C22" s="35" t="str"/>
      <x:c r="D22" s="10" t="str"/>
      <x:c r="E22" s="10" t="str"/>
      <x:c r="F22" s="10" t="str"/>
      <x:c r="G22" s="10" t="str"/>
      <x:c r="H22" s="10" t="str"/>
      <x:c r="I22" s="10" t="str"/>
      <x:c r="J22" s="10" t="str"/>
      <x:c r="K22" s="10" t="str"/>
      <x:c r="L22" s="35" t="str"/>
      <x:c r="M22" s="10" t="str"/>
      <x:c r="N22" s="10" t="str"/>
    </x:row>
    <x:row r="23">
      <x:c r="A23" s="34" t="str"/>
      <x:c r="B23" s="34" t="str"/>
      <x:c r="C23" s="36" t="str"/>
      <x:c r="D23" s="34" t="str"/>
      <x:c r="E23" s="34" t="str"/>
      <x:c r="F23" s="34" t="str"/>
      <x:c r="G23" s="34" t="str"/>
      <x:c r="H23" s="34" t="str"/>
      <x:c r="I23" s="34" t="str"/>
      <x:c r="J23" s="34" t="str"/>
      <x:c r="K23" s="34" t="str"/>
      <x:c r="L23" s="36" t="str"/>
      <x:c r="M23" s="34" t="str"/>
      <x:c r="N23" s="34" t="str"/>
    </x:row>
    <x:row r="24">
      <x:c r="A24" s="10" t="str"/>
      <x:c r="B24" s="10" t="str"/>
      <x:c r="C24" s="35" t="str"/>
      <x:c r="D24" s="10" t="str"/>
      <x:c r="E24" s="10" t="str"/>
      <x:c r="F24" s="10" t="str"/>
      <x:c r="G24" s="10" t="str"/>
      <x:c r="H24" s="10" t="str"/>
      <x:c r="I24" s="10" t="str"/>
      <x:c r="J24" s="10" t="str"/>
      <x:c r="K24" s="10" t="str"/>
      <x:c r="L24" s="35" t="str"/>
      <x:c r="M24" s="10" t="str"/>
      <x:c r="N24" s="10" t="str"/>
    </x:row>
    <x:row r="25">
      <x:c r="A25" s="41" t="str"/>
      <x:c r="B25" s="41" t="str"/>
      <x:c r="C25" s="42" t="str"/>
      <x:c r="D25" s="41" t="str"/>
      <x:c r="E25" s="41" t="str"/>
      <x:c r="F25" s="41" t="str"/>
      <x:c r="G25" s="41" t="str"/>
      <x:c r="H25" s="41" t="str"/>
      <x:c r="I25" s="41" t="str"/>
      <x:c r="J25" s="41" t="str"/>
      <x:c r="K25" s="41" t="str"/>
      <x:c r="L25" s="42" t="str"/>
      <x:c r="M25" s="41" t="str"/>
      <x:c r="N25" s="41" t="str"/>
    </x:row>
  </x:sheetData>
  <x:mergeCells>
    <x:mergeCell ref="A1:N1"/>
    <x:mergeCell ref="A2:N2"/>
  </x:mergeCells>
  <x:pageMargins left="0.7" right="0.7" top="0.75" bottom="0.75" header="0.3" footer="0.3"/>
  <x:tableParts count="1">
    <x:tablePart xmlns:r="http://schemas.openxmlformats.org/officeDocument/2006/relationships" r:id="R1643fa0f427c48ef"/>
  </x:tableParts>
</x:worksheet>
</file>

<file path=xl/worksheets/sheet16.xml><?xml version="1.0" encoding="utf-8"?>
<x:worksheet xmlns:x="http://schemas.openxmlformats.org/spreadsheetml/2006/main">
  <x:sheetPr>
    <x:tabColor rgb="FFA5A5A5"/>
  </x:sheetPr>
  <x:sheetViews>
    <x:sheetView showGridLines="0" workbookViewId="0"/>
  </x:sheetViews>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s>
  <x:sheetData>
    <x:row r="1" ht="28" customHeight="1">
      <x:c r="A1" s="1" t="str">
        <x:v>Reference lists</x:v>
      </x:c>
    </x:row>
    <x:row r="2">
      <x:c r="A2" s="2" t="str">
        <x:v>Controlled vocabulary used by workbook validation and repository schemas.</x:v>
      </x:c>
    </x:row>
    <x:row r="3">
      <x:c r="A3" s="3"/>
      <x:c r="B3" s="3"/>
      <x:c r="C3" s="3"/>
      <x:c r="D3" s="3"/>
      <x:c r="E3" s="3"/>
      <x:c r="F3" s="3"/>
    </x:row>
    <x:row r="5" ht="32" customHeight="1">
      <x:c r="A5" s="31" t="str">
        <x:v>Task Status</x:v>
      </x:c>
      <x:c r="B5" s="31" t="str">
        <x:v>Decision Status</x:v>
      </x:c>
      <x:c r="C5" s="31" t="str">
        <x:v>Gate Status</x:v>
      </x:c>
      <x:c r="D5" s="31" t="str">
        <x:v>Criterion Status</x:v>
      </x:c>
      <x:c r="E5" s="31" t="str">
        <x:v>Execution Class</x:v>
      </x:c>
      <x:c r="F5" s="31" t="str">
        <x:v>Requirement Level</x:v>
      </x:c>
    </x:row>
    <x:row r="6">
      <x:c r="A6" s="10" t="str">
        <x:v>not_started</x:v>
      </x:c>
      <x:c r="B6" s="10" t="str">
        <x:v>open</x:v>
      </x:c>
      <x:c r="C6" s="10" t="str">
        <x:v>locked</x:v>
      </x:c>
      <x:c r="D6" s="10" t="str">
        <x:v>not_evaluated</x:v>
      </x:c>
      <x:c r="E6" s="10" t="str">
        <x:v>agent</x:v>
      </x:c>
      <x:c r="F6" s="10" t="str">
        <x:v>MUST</x:v>
      </x:c>
    </x:row>
    <x:row r="7">
      <x:c r="A7" s="10" t="str">
        <x:v>ready</x:v>
      </x:c>
      <x:c r="B7" s="10" t="str">
        <x:v>in_review</x:v>
      </x:c>
      <x:c r="C7" s="10" t="str">
        <x:v>open</x:v>
      </x:c>
      <x:c r="D7" s="10" t="str">
        <x:v>pass</x:v>
      </x:c>
      <x:c r="E7" s="10" t="str">
        <x:v>human</x:v>
      </x:c>
      <x:c r="F7" s="10" t="str">
        <x:v>MUST NOT</x:v>
      </x:c>
    </x:row>
    <x:row r="8">
      <x:c r="A8" s="10" t="str">
        <x:v>in_progress</x:v>
      </x:c>
      <x:c r="B8" s="10" t="str">
        <x:v>decided</x:v>
      </x:c>
      <x:c r="C8" s="10" t="str">
        <x:v>verification_pending</x:v>
      </x:c>
      <x:c r="D8" s="10" t="str">
        <x:v>fail</x:v>
      </x:c>
      <x:c r="E8" s="10" t="str">
        <x:v>mixed</x:v>
      </x:c>
      <x:c r="F8" s="10" t="str">
        <x:v>SHOULD</x:v>
      </x:c>
    </x:row>
    <x:row r="9">
      <x:c r="A9" s="10" t="str">
        <x:v>blocked</x:v>
      </x:c>
      <x:c r="B9" s="10" t="str">
        <x:v>superseded</x:v>
      </x:c>
      <x:c r="C9" s="10" t="str">
        <x:v>passed</x:v>
      </x:c>
      <x:c r="D9" s="10" t="str">
        <x:v>blocked</x:v>
      </x:c>
      <x:c r="E9" s="10" t="str">
        <x:v>lab_hardware</x:v>
      </x:c>
      <x:c r="F9" s="10" t="str">
        <x:v>SHOULD NOT</x:v>
      </x:c>
    </x:row>
    <x:row r="10">
      <x:c r="A10" s="10" t="str">
        <x:v>verification_pending</x:v>
      </x:c>
      <x:c r="B10" s="10" t="str">
        <x:v>informational</x:v>
      </x:c>
      <x:c r="C10" s="10" t="str">
        <x:v>failed</x:v>
      </x:c>
      <x:c r="D10" s="10" t="str">
        <x:v>not_applicable</x:v>
      </x:c>
      <x:c r="E10" s="10" t="str">
        <x:v>automated_check</x:v>
      </x:c>
      <x:c r="F10" s="10" t="str">
        <x:v>MAY</x:v>
      </x:c>
    </x:row>
    <x:row r="11">
      <x:c r="A11" s="10" t="str">
        <x:v>done</x:v>
      </x:c>
      <x:c r="B11" s="10" t="str"/>
      <x:c r="C11" s="10" t="str"/>
      <x:c r="D11" s="10" t="str"/>
      <x:c r="E11" s="10" t="str"/>
      <x:c r="F11" s="10" t="str"/>
    </x:row>
    <x:row r="12">
      <x:c r="A12" s="33" t="str">
        <x:v>superseded</x:v>
      </x:c>
      <x:c r="B12" s="33" t="str"/>
      <x:c r="C12" s="33" t="str"/>
      <x:c r="D12" s="33" t="str"/>
      <x:c r="E12" s="33" t="str"/>
      <x:c r="F12" s="33" t="str"/>
    </x:row>
  </x:sheetData>
  <x:mergeCells>
    <x:mergeCell ref="A1:F1"/>
    <x:mergeCell ref="A2:F2"/>
  </x:mergeCells>
  <x:pageMargins left="0.7" right="0.7" top="0.75" bottom="0.75" header="0.3" footer="0.3"/>
</x:worksheet>
</file>